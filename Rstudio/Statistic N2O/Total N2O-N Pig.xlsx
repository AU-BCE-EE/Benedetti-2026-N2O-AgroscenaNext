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benedetti/Documents/GitHub/Benedetti-2026-N2O-AgroscenaNext/Rstudio/Statistic N2O/"/>
    </mc:Choice>
  </mc:AlternateContent>
  <xr:revisionPtr revIDLastSave="0" documentId="13_ncr:1_{F2D7CC87-9EA4-0042-BB5D-DE8C6545B306}" xr6:coauthVersionLast="47" xr6:coauthVersionMax="47" xr10:uidLastSave="{00000000-0000-0000-0000-000000000000}"/>
  <bookViews>
    <workbookView xWindow="2080" yWindow="1400" windowWidth="27240" windowHeight="16100" activeTab="1" xr2:uid="{42766613-CBF5-7E4B-86F9-769E431DFB9F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" i="1" l="1"/>
  <c r="G13" i="1" s="1"/>
  <c r="E7" i="1"/>
  <c r="G7" i="1" s="1"/>
  <c r="E3" i="1"/>
  <c r="G3" i="1" s="1"/>
  <c r="E2" i="1"/>
  <c r="G2" i="1" s="1"/>
  <c r="E9" i="2"/>
  <c r="D3" i="2"/>
  <c r="E3" i="2" s="1"/>
  <c r="D4" i="2"/>
  <c r="E4" i="2" s="1"/>
  <c r="D5" i="2"/>
  <c r="E5" i="2" s="1"/>
  <c r="D6" i="2"/>
  <c r="E6" i="2" s="1"/>
  <c r="D7" i="2"/>
  <c r="E7" i="2" s="1"/>
  <c r="D8" i="2"/>
  <c r="E8" i="2" s="1"/>
  <c r="D9" i="2"/>
  <c r="D10" i="2"/>
  <c r="E10" i="2" s="1"/>
  <c r="D2" i="2"/>
  <c r="E2" i="2" s="1"/>
  <c r="E4" i="1"/>
  <c r="G4" i="1" s="1"/>
  <c r="E5" i="1"/>
  <c r="G5" i="1" s="1"/>
  <c r="E6" i="1"/>
  <c r="G6" i="1" s="1"/>
  <c r="E8" i="1"/>
  <c r="G8" i="1" s="1"/>
  <c r="E9" i="1"/>
  <c r="G9" i="1" s="1"/>
  <c r="E10" i="1"/>
  <c r="G10" i="1" s="1"/>
  <c r="E11" i="1"/>
  <c r="G11" i="1" s="1"/>
  <c r="E12" i="1"/>
  <c r="G12" i="1" s="1"/>
</calcChain>
</file>

<file path=xl/sharedStrings.xml><?xml version="1.0" encoding="utf-8"?>
<sst xmlns="http://schemas.openxmlformats.org/spreadsheetml/2006/main" count="33" uniqueCount="13">
  <si>
    <t>PSAA</t>
  </si>
  <si>
    <t>PSRAW</t>
  </si>
  <si>
    <t>PSSA</t>
  </si>
  <si>
    <t>netn2on_percTN</t>
  </si>
  <si>
    <t>TN</t>
  </si>
  <si>
    <t>N2O-N g</t>
  </si>
  <si>
    <t>netn2on g</t>
  </si>
  <si>
    <t>TREATMENT</t>
  </si>
  <si>
    <t>indirectnn2o</t>
  </si>
  <si>
    <t>N-NH3</t>
  </si>
  <si>
    <t>indirectnn2omg</t>
  </si>
  <si>
    <t>indirectnn2og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</si>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</sst>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BA4B-72C4-EB4A-A7E0-B3276A8907DA}">
  <dimension ref="A1:G18"/>
  <sheetViews>
    <sheetView zoomScale="158" workbookViewId="0">
      <selection activeCell="I6" sqref="I6"/>
    </sheetView>
  </sheetViews>
  <sheetFormatPr baseColWidth="10" defaultRowHeight="16" x14ac:dyDescent="0.2"/>
  <cols>
    <col min="1" max="1" width="10.6640625" bestFit="1" customWidth="1"/>
    <col min="2" max="2" width="10.6640625" customWidth="1"/>
    <col min="3" max="3" width="12.6640625" bestFit="1" customWidth="1"/>
    <col min="4" max="4" width="13.33203125" bestFit="1" customWidth="1"/>
    <col min="7" max="7" width="14.5" bestFit="1" customWidth="1"/>
  </cols>
  <sheetData>
    <row r="1" spans="1:7" x14ac:dyDescent="0.2">
      <c r="A1" s="1" t="s">
        <v>7</v>
      </c>
      <c r="B1" s="1" t="s">
        <v>12</v>
      </c>
      <c r="C1" s="1" t="s">
        <v>5</v>
      </c>
      <c r="D1" s="1" t="s">
        <v>8</v>
      </c>
      <c r="E1" s="2" t="s">
        <v>6</v>
      </c>
      <c r="F1" s="2" t="s">
        <v>4</v>
      </c>
      <c r="G1" s="2" t="s">
        <v>3</v>
      </c>
    </row>
    <row r="2" spans="1:7" x14ac:dyDescent="0.2">
      <c r="A2" s="1" t="s">
        <v>0</v>
      </c>
      <c r="B2" s="1">
        <v>1</v>
      </c>
      <c r="C2" s="3">
        <v>2.7917641999999999E-2</v>
      </c>
      <c r="D2" s="1">
        <v>5.345352069461457E-4</v>
      </c>
      <c r="E2" s="4">
        <f>C2+D2</f>
        <v>2.8452177206946146E-2</v>
      </c>
      <c r="F2" s="4">
        <v>5.03</v>
      </c>
      <c r="G2" s="1">
        <f>(E2*100)/F2</f>
        <v>0.56564964626135472</v>
      </c>
    </row>
    <row r="3" spans="1:7" x14ac:dyDescent="0.2">
      <c r="A3" s="1" t="s">
        <v>0</v>
      </c>
      <c r="B3" s="1">
        <v>2</v>
      </c>
      <c r="C3" s="1">
        <v>1.1218837000000001E-2</v>
      </c>
      <c r="D3" s="1">
        <v>5.345352069461457E-4</v>
      </c>
      <c r="E3" s="4">
        <f t="shared" ref="E3:E13" si="0">C3+D3</f>
        <v>1.1753372206946146E-2</v>
      </c>
      <c r="F3" s="4">
        <v>5.03</v>
      </c>
      <c r="G3" s="1">
        <f t="shared" ref="G3:G13" si="1">(E3*100)/F3</f>
        <v>0.23366545143034087</v>
      </c>
    </row>
    <row r="4" spans="1:7" x14ac:dyDescent="0.2">
      <c r="A4" s="1" t="s">
        <v>0</v>
      </c>
      <c r="B4" s="1">
        <v>3</v>
      </c>
      <c r="C4" s="1">
        <v>2.0016459E-2</v>
      </c>
      <c r="D4" s="1">
        <v>5.345352069461457E-4</v>
      </c>
      <c r="E4" s="4">
        <f t="shared" si="0"/>
        <v>2.0550994206946147E-2</v>
      </c>
      <c r="F4" s="4">
        <v>5.03</v>
      </c>
      <c r="G4" s="1">
        <f t="shared" si="1"/>
        <v>0.40856847329912821</v>
      </c>
    </row>
    <row r="5" spans="1:7" x14ac:dyDescent="0.2">
      <c r="A5" s="1" t="s">
        <v>0</v>
      </c>
      <c r="B5" s="1">
        <v>4</v>
      </c>
      <c r="C5" s="1">
        <v>3.0718342999999999E-2</v>
      </c>
      <c r="D5" s="1">
        <v>5.345352069461457E-4</v>
      </c>
      <c r="E5" s="4">
        <f t="shared" si="0"/>
        <v>3.1252878206946146E-2</v>
      </c>
      <c r="F5" s="4">
        <v>5.03</v>
      </c>
      <c r="G5" s="1">
        <f t="shared" si="1"/>
        <v>0.62132958661920767</v>
      </c>
    </row>
    <row r="6" spans="1:7" x14ac:dyDescent="0.2">
      <c r="A6" s="1" t="s">
        <v>1</v>
      </c>
      <c r="B6" s="1">
        <v>1</v>
      </c>
      <c r="C6" s="1">
        <v>3.2297381E-2</v>
      </c>
      <c r="D6" s="1">
        <v>8.9795501736095141E-4</v>
      </c>
      <c r="E6" s="4">
        <f t="shared" si="0"/>
        <v>3.3195336017360952E-2</v>
      </c>
      <c r="F6" s="4">
        <v>4.87</v>
      </c>
      <c r="G6" s="1">
        <f t="shared" si="1"/>
        <v>0.68162907633184699</v>
      </c>
    </row>
    <row r="7" spans="1:7" x14ac:dyDescent="0.2">
      <c r="A7" s="1" t="s">
        <v>1</v>
      </c>
      <c r="B7" s="1">
        <v>2</v>
      </c>
      <c r="C7" s="1">
        <v>3.3239707E-2</v>
      </c>
      <c r="D7" s="1">
        <v>8.9795501736095141E-4</v>
      </c>
      <c r="E7" s="4">
        <f t="shared" si="0"/>
        <v>3.4137662017360952E-2</v>
      </c>
      <c r="F7" s="4">
        <v>4.87</v>
      </c>
      <c r="G7" s="1">
        <f t="shared" si="1"/>
        <v>0.70097868618810988</v>
      </c>
    </row>
    <row r="8" spans="1:7" x14ac:dyDescent="0.2">
      <c r="A8" s="1" t="s">
        <v>1</v>
      </c>
      <c r="B8" s="1">
        <v>3</v>
      </c>
      <c r="C8" s="1">
        <v>3.9034791999999999E-2</v>
      </c>
      <c r="D8" s="1">
        <v>8.9795501736095141E-4</v>
      </c>
      <c r="E8" s="4">
        <f t="shared" si="0"/>
        <v>3.9932747017360951E-2</v>
      </c>
      <c r="F8" s="4">
        <v>4.87</v>
      </c>
      <c r="G8" s="1">
        <f t="shared" si="1"/>
        <v>0.81997427140371559</v>
      </c>
    </row>
    <row r="9" spans="1:7" x14ac:dyDescent="0.2">
      <c r="A9" s="1" t="s">
        <v>1</v>
      </c>
      <c r="B9" s="1">
        <v>4</v>
      </c>
      <c r="C9" s="1">
        <v>1.0253355E-2</v>
      </c>
      <c r="D9" s="1">
        <v>8.9795501736095141E-4</v>
      </c>
      <c r="E9" s="4">
        <f t="shared" si="0"/>
        <v>1.1151310017360952E-2</v>
      </c>
      <c r="F9" s="4">
        <v>4.87</v>
      </c>
      <c r="G9" s="1">
        <f t="shared" si="1"/>
        <v>0.22897967181439324</v>
      </c>
    </row>
    <row r="10" spans="1:7" x14ac:dyDescent="0.2">
      <c r="A10" s="1" t="s">
        <v>2</v>
      </c>
      <c r="B10" s="1">
        <v>1</v>
      </c>
      <c r="C10" s="1">
        <v>2.5093523E-2</v>
      </c>
      <c r="D10" s="1">
        <v>5.0073236909318553E-4</v>
      </c>
      <c r="E10" s="4">
        <f t="shared" si="0"/>
        <v>2.5594255369093186E-2</v>
      </c>
      <c r="F10" s="4">
        <v>5.42</v>
      </c>
      <c r="G10" s="1">
        <f t="shared" si="1"/>
        <v>0.47221873374710682</v>
      </c>
    </row>
    <row r="11" spans="1:7" x14ac:dyDescent="0.2">
      <c r="A11" s="1" t="s">
        <v>2</v>
      </c>
      <c r="B11" s="1">
        <v>2</v>
      </c>
      <c r="C11" s="1">
        <v>3.2450067999999999E-2</v>
      </c>
      <c r="D11" s="1">
        <v>5.0073236909318553E-4</v>
      </c>
      <c r="E11" s="4">
        <f t="shared" si="0"/>
        <v>3.2950800369093182E-2</v>
      </c>
      <c r="F11" s="4">
        <v>5.42</v>
      </c>
      <c r="G11" s="1">
        <f t="shared" si="1"/>
        <v>0.60794834629323213</v>
      </c>
    </row>
    <row r="12" spans="1:7" x14ac:dyDescent="0.2">
      <c r="A12" s="1" t="s">
        <v>2</v>
      </c>
      <c r="B12" s="1">
        <v>3</v>
      </c>
      <c r="C12" s="1">
        <v>3.3745736999999998E-2</v>
      </c>
      <c r="D12" s="1">
        <v>5.0073236909318553E-4</v>
      </c>
      <c r="E12" s="4">
        <f t="shared" si="0"/>
        <v>3.4246469369093181E-2</v>
      </c>
      <c r="F12" s="4">
        <v>5.42</v>
      </c>
      <c r="G12" s="1">
        <f t="shared" si="1"/>
        <v>0.63185367839655315</v>
      </c>
    </row>
    <row r="13" spans="1:7" x14ac:dyDescent="0.2">
      <c r="A13" s="1" t="s">
        <v>2</v>
      </c>
      <c r="B13" s="1">
        <v>4</v>
      </c>
      <c r="C13" s="1">
        <v>6.3713340000000002E-3</v>
      </c>
      <c r="D13" s="1">
        <v>5.0073236909318553E-4</v>
      </c>
      <c r="E13" s="4">
        <f t="shared" si="0"/>
        <v>6.8720663690931862E-3</v>
      </c>
      <c r="F13" s="4">
        <v>5.42</v>
      </c>
      <c r="G13" s="1">
        <f t="shared" si="1"/>
        <v>0.12679089241869346</v>
      </c>
    </row>
    <row r="16" spans="1:7" x14ac:dyDescent="0.2">
      <c r="C16" s="1"/>
    </row>
    <row r="17" spans="3:3" x14ac:dyDescent="0.2">
      <c r="C17" s="1"/>
    </row>
    <row r="18" spans="3:3" x14ac:dyDescent="0.2">
      <c r="C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4AE9-F9FC-C341-AF00-78E995D51DE9}">
  <dimension ref="A1:E10"/>
  <sheetViews>
    <sheetView tabSelected="1" workbookViewId="0">
      <selection activeCell="B11" sqref="B11"/>
    </sheetView>
  </sheetViews>
  <sheetFormatPr baseColWidth="10" defaultRowHeight="16" x14ac:dyDescent="0.2"/>
  <cols>
    <col min="1" max="1" width="10.6640625" bestFit="1" customWidth="1"/>
    <col min="2" max="2" width="10.6640625" customWidth="1"/>
    <col min="3" max="3" width="12.1640625" bestFit="1" customWidth="1"/>
    <col min="4" max="5" width="13.83203125" bestFit="1" customWidth="1"/>
  </cols>
  <sheetData>
    <row r="1" spans="1:5" x14ac:dyDescent="0.2">
      <c r="A1" s="1" t="s">
        <v>7</v>
      </c>
      <c r="B1" s="1" t="s">
        <v>12</v>
      </c>
      <c r="C1" t="s">
        <v>9</v>
      </c>
      <c r="D1" t="s">
        <v>10</v>
      </c>
      <c r="E1" s="2" t="s">
        <v>11</v>
      </c>
    </row>
    <row r="2" spans="1:5" x14ac:dyDescent="0.2">
      <c r="A2" s="1" t="s">
        <v>0</v>
      </c>
      <c r="B2" s="1">
        <v>1</v>
      </c>
      <c r="C2">
        <v>59.845545120956196</v>
      </c>
      <c r="D2">
        <f>(C2*1)/100</f>
        <v>0.59845545120956201</v>
      </c>
      <c r="E2">
        <f>D2/1000</f>
        <v>5.9845545120956203E-4</v>
      </c>
    </row>
    <row r="3" spans="1:5" x14ac:dyDescent="0.2">
      <c r="A3" s="1" t="s">
        <v>0</v>
      </c>
      <c r="B3" s="1">
        <v>2</v>
      </c>
      <c r="C3">
        <v>63.760990819649464</v>
      </c>
      <c r="D3">
        <f t="shared" ref="D3:D10" si="0">(C3*1)/100</f>
        <v>0.63760990819649466</v>
      </c>
      <c r="E3">
        <f t="shared" ref="E3:E10" si="1">D3/1000</f>
        <v>6.3760990819649471E-4</v>
      </c>
    </row>
    <row r="4" spans="1:5" x14ac:dyDescent="0.2">
      <c r="A4" s="1" t="s">
        <v>0</v>
      </c>
      <c r="B4" s="1">
        <v>3</v>
      </c>
      <c r="C4">
        <v>36.754026143238058</v>
      </c>
      <c r="D4">
        <f t="shared" si="0"/>
        <v>0.36754026143238056</v>
      </c>
      <c r="E4">
        <f t="shared" si="1"/>
        <v>3.6754026143238054E-4</v>
      </c>
    </row>
    <row r="5" spans="1:5" x14ac:dyDescent="0.2">
      <c r="A5" s="1" t="s">
        <v>1</v>
      </c>
      <c r="B5" s="1">
        <v>1</v>
      </c>
      <c r="C5">
        <v>102.96769743581497</v>
      </c>
      <c r="D5">
        <f t="shared" si="0"/>
        <v>1.0296769743581498</v>
      </c>
      <c r="E5">
        <f t="shared" si="1"/>
        <v>1.0296769743581497E-3</v>
      </c>
    </row>
    <row r="6" spans="1:5" x14ac:dyDescent="0.2">
      <c r="A6" s="1" t="s">
        <v>1</v>
      </c>
      <c r="B6" s="1">
        <v>2</v>
      </c>
      <c r="C6">
        <v>53.729089375464895</v>
      </c>
      <c r="D6">
        <f t="shared" si="0"/>
        <v>0.537290893754649</v>
      </c>
      <c r="E6">
        <f t="shared" si="1"/>
        <v>5.3729089375464901E-4</v>
      </c>
    </row>
    <row r="7" spans="1:5" x14ac:dyDescent="0.2">
      <c r="A7" s="1" t="s">
        <v>1</v>
      </c>
      <c r="B7" s="1">
        <v>3</v>
      </c>
      <c r="C7">
        <v>112.68971839700554</v>
      </c>
      <c r="D7">
        <f t="shared" si="0"/>
        <v>1.1268971839700554</v>
      </c>
      <c r="E7">
        <f t="shared" si="1"/>
        <v>1.1268971839700555E-3</v>
      </c>
    </row>
    <row r="8" spans="1:5" x14ac:dyDescent="0.2">
      <c r="A8" s="1" t="s">
        <v>2</v>
      </c>
      <c r="B8" s="1">
        <v>1</v>
      </c>
      <c r="C8">
        <v>68.212719912102941</v>
      </c>
      <c r="D8">
        <f t="shared" si="0"/>
        <v>0.68212719912102937</v>
      </c>
      <c r="E8">
        <f t="shared" si="1"/>
        <v>6.8212719912102938E-4</v>
      </c>
    </row>
    <row r="9" spans="1:5" x14ac:dyDescent="0.2">
      <c r="A9" s="1" t="s">
        <v>2</v>
      </c>
      <c r="B9" s="1">
        <v>2</v>
      </c>
      <c r="C9">
        <v>35.874197437406018</v>
      </c>
      <c r="D9">
        <f t="shared" si="0"/>
        <v>0.35874197437406019</v>
      </c>
      <c r="E9">
        <f t="shared" si="1"/>
        <v>3.5874197437406021E-4</v>
      </c>
    </row>
    <row r="10" spans="1:5" x14ac:dyDescent="0.2">
      <c r="A10" s="1" t="s">
        <v>2</v>
      </c>
      <c r="B10" s="1">
        <v>3</v>
      </c>
      <c r="C10">
        <v>46.132793378446706</v>
      </c>
      <c r="D10">
        <f t="shared" si="0"/>
        <v>0.46132793378446707</v>
      </c>
      <c r="E10">
        <f t="shared" si="1"/>
        <v>4.6132793378446705E-4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Benedetti Lorenzo (lorenzo.benedetti1)</dc:creator>
  <cp:lastModifiedBy>Benedetti Lorenzo (lorenzo.benedetti1)</cp:lastModifiedBy>
  <dcterms:created xsi:type="dcterms:W3CDTF">2026-04-23T09:28:49Z</dcterms:created>
  <dcterms:modified xsi:type="dcterms:W3CDTF">2026-09-17T15:05:59Z</dcterms:modified>
</cp:coreProperties>
</file>