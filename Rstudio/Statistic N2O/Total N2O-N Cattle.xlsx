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ocuments/GitHub/Benedetti-2026-N2O-AgroscenaNext/Rstudio/Statistic N2O/"/>
    </mc:Choice>
  </mc:AlternateContent>
  <xr:revisionPtr revIDLastSave="0" documentId="13_ncr:1_{A66137FF-8C23-094F-9AE7-39E8927E386D}" xr6:coauthVersionLast="47" xr6:coauthVersionMax="47" xr10:uidLastSave="{00000000-0000-0000-0000-000000000000}"/>
  <bookViews>
    <workbookView xWindow="30240" yWindow="600" windowWidth="38400" windowHeight="21000" activeTab="1" xr2:uid="{5D1BC390-BF71-834B-BBC1-AA28FA860B8A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C17" i="1"/>
  <c r="C16" i="1"/>
  <c r="C3" i="2"/>
  <c r="C4" i="2"/>
  <c r="C5" i="2"/>
  <c r="C6" i="2"/>
  <c r="C7" i="2"/>
  <c r="C8" i="2"/>
  <c r="C9" i="2"/>
  <c r="C10" i="2"/>
  <c r="C2" i="2"/>
  <c r="F3" i="2" l="1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2" i="2"/>
  <c r="G2" i="2" s="1"/>
  <c r="G5" i="1"/>
  <c r="G7" i="1"/>
  <c r="G8" i="1"/>
  <c r="G9" i="1"/>
  <c r="G10" i="1"/>
  <c r="E3" i="1"/>
  <c r="G3" i="1" s="1"/>
  <c r="E4" i="1"/>
  <c r="G4" i="1" s="1"/>
  <c r="E5" i="1"/>
  <c r="E6" i="1"/>
  <c r="G6" i="1" s="1"/>
  <c r="E7" i="1"/>
  <c r="E8" i="1"/>
  <c r="E9" i="1"/>
  <c r="E10" i="1"/>
  <c r="E11" i="1"/>
  <c r="G11" i="1" s="1"/>
  <c r="E12" i="1"/>
  <c r="G12" i="1" s="1"/>
  <c r="E13" i="1"/>
  <c r="G13" i="1" s="1"/>
  <c r="E2" i="1"/>
  <c r="G2" i="1" s="1"/>
</calcChain>
</file>

<file path=xl/sharedStrings.xml><?xml version="1.0" encoding="utf-8"?>
<sst xmlns="http://schemas.openxmlformats.org/spreadsheetml/2006/main" count="35" uniqueCount="14">
  <si>
    <t>CSAA</t>
  </si>
  <si>
    <t>CSRAW</t>
  </si>
  <si>
    <t>CSSA</t>
  </si>
  <si>
    <t>N2O-N g</t>
  </si>
  <si>
    <t>netn2on g</t>
  </si>
  <si>
    <t>TN</t>
  </si>
  <si>
    <t>netn2on_percTN</t>
  </si>
  <si>
    <t>TREATMENT</t>
  </si>
  <si>
    <t>indirectnn2o</t>
  </si>
  <si>
    <t>indirectnn2omg</t>
  </si>
  <si>
    <t>indirectnn2og</t>
  </si>
  <si>
    <t>N-NH3 mg</t>
  </si>
  <si>
    <t>N-NH3 g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</si>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</sst>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031A-2935-F34D-B3B4-A21CE7876168}">
  <dimension ref="A1:G18"/>
  <sheetViews>
    <sheetView workbookViewId="0">
      <selection activeCell="F27" sqref="F27"/>
    </sheetView>
  </sheetViews>
  <sheetFormatPr baseColWidth="10" defaultRowHeight="16" x14ac:dyDescent="0.2"/>
  <cols>
    <col min="4" max="4" width="13.33203125" bestFit="1" customWidth="1"/>
    <col min="7" max="7" width="14.5" bestFit="1" customWidth="1"/>
  </cols>
  <sheetData>
    <row r="1" spans="1:7" x14ac:dyDescent="0.2">
      <c r="A1" t="s">
        <v>7</v>
      </c>
      <c r="B1" t="s">
        <v>13</v>
      </c>
      <c r="C1" s="1" t="s">
        <v>3</v>
      </c>
      <c r="D1" s="1" t="s">
        <v>8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0</v>
      </c>
      <c r="B2">
        <v>1</v>
      </c>
      <c r="C2">
        <v>2.9799450000000002E-2</v>
      </c>
      <c r="D2">
        <v>1.9255987849334819E-3</v>
      </c>
      <c r="E2">
        <f>C2+D2</f>
        <v>3.1725048784933485E-2</v>
      </c>
      <c r="F2">
        <v>6.21</v>
      </c>
      <c r="G2">
        <f>(E2*100)/F2</f>
        <v>0.51087035080408183</v>
      </c>
    </row>
    <row r="3" spans="1:7" x14ac:dyDescent="0.2">
      <c r="A3" t="s">
        <v>0</v>
      </c>
      <c r="B3">
        <v>2</v>
      </c>
      <c r="C3">
        <v>5.3140229999999997E-2</v>
      </c>
      <c r="D3">
        <v>1.9255987849334819E-3</v>
      </c>
      <c r="E3">
        <f t="shared" ref="E3:E13" si="0">C3+D3</f>
        <v>5.5065828784933477E-2</v>
      </c>
      <c r="F3">
        <v>6.21</v>
      </c>
      <c r="G3">
        <f t="shared" ref="G3:G13" si="1">(E3*100)/F3</f>
        <v>0.88672832181857442</v>
      </c>
    </row>
    <row r="4" spans="1:7" x14ac:dyDescent="0.2">
      <c r="A4" t="s">
        <v>0</v>
      </c>
      <c r="B4">
        <v>3</v>
      </c>
      <c r="C4">
        <v>2.823637E-2</v>
      </c>
      <c r="D4">
        <v>1.9255987849334819E-3</v>
      </c>
      <c r="E4">
        <f t="shared" si="0"/>
        <v>3.0161968784933484E-2</v>
      </c>
      <c r="F4">
        <v>6.21</v>
      </c>
      <c r="G4">
        <f t="shared" si="1"/>
        <v>0.48569998043371149</v>
      </c>
    </row>
    <row r="5" spans="1:7" x14ac:dyDescent="0.2">
      <c r="A5" t="s">
        <v>0</v>
      </c>
      <c r="B5">
        <v>4</v>
      </c>
      <c r="C5">
        <v>1.806899E-2</v>
      </c>
      <c r="D5">
        <v>1.9255987849334819E-3</v>
      </c>
      <c r="E5">
        <f t="shared" si="0"/>
        <v>1.9994588784933483E-2</v>
      </c>
      <c r="F5">
        <v>6.21</v>
      </c>
      <c r="G5">
        <f t="shared" si="1"/>
        <v>0.32197405450778555</v>
      </c>
    </row>
    <row r="6" spans="1:7" x14ac:dyDescent="0.2">
      <c r="A6" t="s">
        <v>1</v>
      </c>
      <c r="B6">
        <v>1</v>
      </c>
      <c r="C6">
        <v>2.154091E-2</v>
      </c>
      <c r="D6">
        <v>3.0456677257657129E-3</v>
      </c>
      <c r="E6">
        <f t="shared" si="0"/>
        <v>2.4586577725765713E-2</v>
      </c>
      <c r="F6">
        <v>5.75</v>
      </c>
      <c r="G6">
        <f t="shared" si="1"/>
        <v>0.42759265610027325</v>
      </c>
    </row>
    <row r="7" spans="1:7" x14ac:dyDescent="0.2">
      <c r="A7" t="s">
        <v>1</v>
      </c>
      <c r="B7">
        <v>2</v>
      </c>
      <c r="C7">
        <v>2.173369E-2</v>
      </c>
      <c r="D7">
        <v>3.0456677257657129E-3</v>
      </c>
      <c r="E7">
        <f t="shared" si="0"/>
        <v>2.4779357725765713E-2</v>
      </c>
      <c r="F7">
        <v>5.75</v>
      </c>
      <c r="G7">
        <f t="shared" si="1"/>
        <v>0.43094535175244714</v>
      </c>
    </row>
    <row r="8" spans="1:7" x14ac:dyDescent="0.2">
      <c r="A8" t="s">
        <v>1</v>
      </c>
      <c r="B8">
        <v>3</v>
      </c>
      <c r="C8">
        <v>2.3506349999999999E-2</v>
      </c>
      <c r="D8">
        <v>3.0456677257657129E-3</v>
      </c>
      <c r="E8">
        <f t="shared" si="0"/>
        <v>2.6552017725765712E-2</v>
      </c>
      <c r="F8">
        <v>5.75</v>
      </c>
      <c r="G8">
        <f t="shared" si="1"/>
        <v>0.46177422131766455</v>
      </c>
    </row>
    <row r="9" spans="1:7" x14ac:dyDescent="0.2">
      <c r="A9" t="s">
        <v>1</v>
      </c>
      <c r="B9">
        <v>4</v>
      </c>
      <c r="C9">
        <v>1.191774E-2</v>
      </c>
      <c r="D9">
        <v>3.0456677257657129E-3</v>
      </c>
      <c r="E9">
        <f t="shared" si="0"/>
        <v>1.4963407725765713E-2</v>
      </c>
      <c r="F9">
        <v>5.75</v>
      </c>
      <c r="G9">
        <f t="shared" si="1"/>
        <v>0.2602331778394037</v>
      </c>
    </row>
    <row r="10" spans="1:7" x14ac:dyDescent="0.2">
      <c r="A10" t="s">
        <v>2</v>
      </c>
      <c r="B10">
        <v>1</v>
      </c>
      <c r="C10">
        <v>3.3598929999999999E-2</v>
      </c>
      <c r="D10">
        <v>1.9483684907267555E-3</v>
      </c>
      <c r="E10">
        <f t="shared" si="0"/>
        <v>3.5547298490726756E-2</v>
      </c>
      <c r="F10">
        <v>6.19</v>
      </c>
      <c r="G10">
        <f t="shared" si="1"/>
        <v>0.57426976560140153</v>
      </c>
    </row>
    <row r="11" spans="1:7" x14ac:dyDescent="0.2">
      <c r="A11" t="s">
        <v>2</v>
      </c>
      <c r="B11">
        <v>2</v>
      </c>
      <c r="C11">
        <v>3.9910689999999999E-2</v>
      </c>
      <c r="D11">
        <v>1.9483684907267555E-3</v>
      </c>
      <c r="E11">
        <f t="shared" si="0"/>
        <v>4.1859058490726755E-2</v>
      </c>
      <c r="F11">
        <v>6.19</v>
      </c>
      <c r="G11">
        <f t="shared" si="1"/>
        <v>0.6762368092201414</v>
      </c>
    </row>
    <row r="12" spans="1:7" x14ac:dyDescent="0.2">
      <c r="A12" t="s">
        <v>2</v>
      </c>
      <c r="B12">
        <v>3</v>
      </c>
      <c r="C12">
        <v>3.319656E-2</v>
      </c>
      <c r="D12">
        <v>1.9483684907267555E-3</v>
      </c>
      <c r="E12">
        <f t="shared" si="0"/>
        <v>3.5144928490726757E-2</v>
      </c>
      <c r="F12">
        <v>6.19</v>
      </c>
      <c r="G12">
        <f t="shared" si="1"/>
        <v>0.56776944249962447</v>
      </c>
    </row>
    <row r="13" spans="1:7" x14ac:dyDescent="0.2">
      <c r="A13" t="s">
        <v>2</v>
      </c>
      <c r="B13">
        <v>4</v>
      </c>
      <c r="C13">
        <v>2.6216969999999999E-2</v>
      </c>
      <c r="D13">
        <v>1.9483684907267555E-3</v>
      </c>
      <c r="E13">
        <f t="shared" si="0"/>
        <v>2.8165338490726756E-2</v>
      </c>
      <c r="F13">
        <v>6.19</v>
      </c>
      <c r="G13">
        <f t="shared" si="1"/>
        <v>0.45501354589219312</v>
      </c>
    </row>
    <row r="16" spans="1:7" x14ac:dyDescent="0.2">
      <c r="C16">
        <f>AVERAGE(C2:C5)</f>
        <v>3.2311260000000001E-2</v>
      </c>
    </row>
    <row r="17" spans="3:3" x14ac:dyDescent="0.2">
      <c r="C17">
        <f>AVERAGE(C6:C9)</f>
        <v>1.9674672499999997E-2</v>
      </c>
    </row>
    <row r="18" spans="3:3" x14ac:dyDescent="0.2">
      <c r="C18">
        <f>AVERAGE(C10:C13)</f>
        <v>3.3230787499999997E-2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0D3C-99D7-BD4D-8D20-CF95E76C71D9}">
  <dimension ref="A1:G10"/>
  <sheetViews>
    <sheetView tabSelected="1" workbookViewId="0">
      <selection activeCell="B11" sqref="B11"/>
    </sheetView>
  </sheetViews>
  <sheetFormatPr baseColWidth="10" defaultRowHeight="16" x14ac:dyDescent="0.2"/>
  <cols>
    <col min="5" max="5" width="12.1640625" bestFit="1" customWidth="1"/>
    <col min="6" max="6" width="13.83203125" bestFit="1" customWidth="1"/>
    <col min="7" max="7" width="12.33203125" bestFit="1" customWidth="1"/>
  </cols>
  <sheetData>
    <row r="1" spans="1:7" x14ac:dyDescent="0.2">
      <c r="A1" t="s">
        <v>7</v>
      </c>
      <c r="B1" t="s">
        <v>13</v>
      </c>
      <c r="C1" s="1" t="s">
        <v>12</v>
      </c>
      <c r="D1" s="1" t="s">
        <v>3</v>
      </c>
      <c r="E1" t="s">
        <v>11</v>
      </c>
      <c r="F1" t="s">
        <v>9</v>
      </c>
      <c r="G1" s="3" t="s">
        <v>10</v>
      </c>
    </row>
    <row r="2" spans="1:7" x14ac:dyDescent="0.2">
      <c r="A2" t="s">
        <v>0</v>
      </c>
      <c r="B2">
        <v>1</v>
      </c>
      <c r="C2">
        <f>E2/1000</f>
        <v>0.20071157221320571</v>
      </c>
      <c r="D2">
        <v>3.2311260000000001E-2</v>
      </c>
      <c r="E2">
        <v>200.7115722132057</v>
      </c>
      <c r="F2">
        <f>(E2*1)/100</f>
        <v>2.007115722132057</v>
      </c>
      <c r="G2">
        <f>F2/1000</f>
        <v>2.0071157221320571E-3</v>
      </c>
    </row>
    <row r="3" spans="1:7" x14ac:dyDescent="0.2">
      <c r="A3" t="s">
        <v>0</v>
      </c>
      <c r="B3">
        <v>2</v>
      </c>
      <c r="C3">
        <f t="shared" ref="C3:C10" si="0">E3/1000</f>
        <v>0.22540174189464759</v>
      </c>
      <c r="D3">
        <v>3.2311260000000001E-2</v>
      </c>
      <c r="E3">
        <v>225.40174189464759</v>
      </c>
      <c r="F3">
        <f t="shared" ref="F3:F10" si="1">(E3*1)/100</f>
        <v>2.2540174189464759</v>
      </c>
      <c r="G3">
        <f t="shared" ref="G3:G10" si="2">F3/1000</f>
        <v>2.2540174189464757E-3</v>
      </c>
    </row>
    <row r="4" spans="1:7" x14ac:dyDescent="0.2">
      <c r="A4" t="s">
        <v>0</v>
      </c>
      <c r="B4">
        <v>3</v>
      </c>
      <c r="C4">
        <f t="shared" si="0"/>
        <v>0.15156632137219131</v>
      </c>
      <c r="D4">
        <v>3.2311260000000001E-2</v>
      </c>
      <c r="E4">
        <v>151.56632137219131</v>
      </c>
      <c r="F4">
        <f t="shared" si="1"/>
        <v>1.515663213721913</v>
      </c>
      <c r="G4">
        <f t="shared" si="2"/>
        <v>1.515663213721913E-3</v>
      </c>
    </row>
    <row r="5" spans="1:7" x14ac:dyDescent="0.2">
      <c r="A5" t="s">
        <v>1</v>
      </c>
      <c r="B5">
        <v>1</v>
      </c>
      <c r="C5">
        <f t="shared" si="0"/>
        <v>0.2881710555400791</v>
      </c>
      <c r="D5">
        <v>1.9674672499999997E-2</v>
      </c>
      <c r="E5">
        <v>288.17105554007912</v>
      </c>
      <c r="F5">
        <f t="shared" si="1"/>
        <v>2.8817105554007911</v>
      </c>
      <c r="G5">
        <f t="shared" si="2"/>
        <v>2.8817105554007913E-3</v>
      </c>
    </row>
    <row r="6" spans="1:7" x14ac:dyDescent="0.2">
      <c r="A6" t="s">
        <v>1</v>
      </c>
      <c r="B6">
        <v>2</v>
      </c>
      <c r="C6">
        <f t="shared" si="0"/>
        <v>0.32110251296349429</v>
      </c>
      <c r="D6">
        <v>1.9674672499999997E-2</v>
      </c>
      <c r="E6">
        <v>321.10251296349429</v>
      </c>
      <c r="F6">
        <f t="shared" si="1"/>
        <v>3.211025129634943</v>
      </c>
      <c r="G6">
        <f t="shared" si="2"/>
        <v>3.2110251296349431E-3</v>
      </c>
    </row>
    <row r="7" spans="1:7" x14ac:dyDescent="0.2">
      <c r="A7" t="s">
        <v>1</v>
      </c>
      <c r="B7">
        <v>3</v>
      </c>
      <c r="C7">
        <f t="shared" si="0"/>
        <v>0.30442674922614049</v>
      </c>
      <c r="D7">
        <v>1.9674672499999997E-2</v>
      </c>
      <c r="E7">
        <v>304.42674922614049</v>
      </c>
      <c r="F7">
        <f t="shared" si="1"/>
        <v>3.044267492261405</v>
      </c>
      <c r="G7">
        <f t="shared" si="2"/>
        <v>3.0442674922614051E-3</v>
      </c>
    </row>
    <row r="8" spans="1:7" x14ac:dyDescent="0.2">
      <c r="A8" t="s">
        <v>2</v>
      </c>
      <c r="B8">
        <v>1</v>
      </c>
      <c r="C8">
        <f t="shared" si="0"/>
        <v>0.14105816436794685</v>
      </c>
      <c r="D8">
        <v>3.3230787499999997E-2</v>
      </c>
      <c r="E8">
        <v>141.05816436794686</v>
      </c>
      <c r="F8">
        <f t="shared" si="1"/>
        <v>1.4105816436794685</v>
      </c>
      <c r="G8">
        <f t="shared" si="2"/>
        <v>1.4105816436794684E-3</v>
      </c>
    </row>
    <row r="9" spans="1:7" x14ac:dyDescent="0.2">
      <c r="A9" t="s">
        <v>2</v>
      </c>
      <c r="B9">
        <v>2</v>
      </c>
      <c r="C9">
        <f t="shared" si="0"/>
        <v>0.22674017009967701</v>
      </c>
      <c r="D9">
        <v>3.3230787499999997E-2</v>
      </c>
      <c r="E9">
        <v>226.74017009967702</v>
      </c>
      <c r="F9">
        <f t="shared" si="1"/>
        <v>2.26740170099677</v>
      </c>
      <c r="G9">
        <f t="shared" si="2"/>
        <v>2.2674017009967698E-3</v>
      </c>
    </row>
    <row r="10" spans="1:7" x14ac:dyDescent="0.2">
      <c r="A10" t="s">
        <v>2</v>
      </c>
      <c r="B10">
        <v>3</v>
      </c>
      <c r="C10">
        <f t="shared" si="0"/>
        <v>0.2167122127504027</v>
      </c>
      <c r="D10">
        <v>3.3230787499999997E-2</v>
      </c>
      <c r="E10">
        <v>216.7122127504027</v>
      </c>
      <c r="F10">
        <f t="shared" si="1"/>
        <v>2.1671221275040269</v>
      </c>
      <c r="G10">
        <f t="shared" si="2"/>
        <v>2.1671221275040269E-3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2026-04-23T13:01:55Z</dcterms:created>
  <dcterms:modified xsi:type="dcterms:W3CDTF">2026-09-17T15:09:57Z</dcterms:modified>
</cp:coreProperties>
</file>