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orenzobenedetti/Desktop/Università/DiANA/Dottorato/Danimarca/AU/Agroscena Next/DFC_SC_Lorenzo_Pablo/Static chambers/"/>
    </mc:Choice>
  </mc:AlternateContent>
  <xr:revisionPtr revIDLastSave="0" documentId="13_ncr:1_{C9FA7012-0231-6F42-ACAE-35A4AE0896AA}" xr6:coauthVersionLast="47" xr6:coauthVersionMax="47" xr10:uidLastSave="{00000000-0000-0000-0000-000000000000}"/>
  <bookViews>
    <workbookView xWindow="30240" yWindow="620" windowWidth="68800" windowHeight="2818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9" i="1" l="1"/>
  <c r="T25" i="1"/>
  <c r="T33" i="1"/>
  <c r="T34" i="1"/>
  <c r="X22" i="1"/>
  <c r="Y22" i="1"/>
  <c r="Z22" i="1"/>
  <c r="T22" i="1" s="1"/>
  <c r="X23" i="1"/>
  <c r="Y23" i="1"/>
  <c r="Z23" i="1"/>
  <c r="T23" i="1" s="1"/>
  <c r="X24" i="1"/>
  <c r="Z24" i="1" s="1"/>
  <c r="T24" i="1" s="1"/>
  <c r="Y24" i="1"/>
  <c r="X25" i="1"/>
  <c r="Y25" i="1"/>
  <c r="Z25" i="1"/>
  <c r="X26" i="1"/>
  <c r="Y26" i="1"/>
  <c r="Z26" i="1"/>
  <c r="T26" i="1" s="1"/>
  <c r="X27" i="1"/>
  <c r="Z27" i="1" s="1"/>
  <c r="T27" i="1" s="1"/>
  <c r="Y27" i="1"/>
  <c r="X28" i="1"/>
  <c r="Y28" i="1"/>
  <c r="Z28" i="1"/>
  <c r="T28" i="1" s="1"/>
  <c r="X29" i="1"/>
  <c r="Y29" i="1"/>
  <c r="Z29" i="1"/>
  <c r="T29" i="1" s="1"/>
  <c r="X30" i="1"/>
  <c r="Y30" i="1"/>
  <c r="Z30" i="1"/>
  <c r="T30" i="1" s="1"/>
  <c r="X31" i="1"/>
  <c r="Y31" i="1"/>
  <c r="Z31" i="1"/>
  <c r="T31" i="1" s="1"/>
  <c r="X32" i="1"/>
  <c r="Z32" i="1" s="1"/>
  <c r="T32" i="1" s="1"/>
  <c r="Y32" i="1"/>
  <c r="X33" i="1"/>
  <c r="Y33" i="1"/>
  <c r="Z33" i="1"/>
  <c r="X34" i="1"/>
  <c r="Y34" i="1"/>
  <c r="Z34" i="1"/>
  <c r="X35" i="1"/>
  <c r="Z35" i="1" s="1"/>
  <c r="T35" i="1" s="1"/>
  <c r="Y35" i="1"/>
  <c r="X36" i="1"/>
  <c r="Y36" i="1"/>
  <c r="Z36" i="1"/>
  <c r="T36" i="1" s="1"/>
  <c r="X37" i="1"/>
  <c r="Y37" i="1"/>
  <c r="Z37" i="1"/>
  <c r="T37" i="1" s="1"/>
  <c r="U37" i="1"/>
  <c r="S37" i="1"/>
  <c r="U36" i="1"/>
  <c r="S36" i="1" s="1"/>
  <c r="U35" i="1"/>
  <c r="S35" i="1" s="1"/>
  <c r="U34" i="1"/>
  <c r="S34" i="1" s="1"/>
  <c r="U33" i="1"/>
  <c r="S33" i="1"/>
  <c r="U32" i="1"/>
  <c r="S32" i="1" s="1"/>
  <c r="U31" i="1"/>
  <c r="S31" i="1" s="1"/>
  <c r="U30" i="1"/>
  <c r="S30" i="1" s="1"/>
  <c r="U29" i="1"/>
  <c r="S29" i="1" s="1"/>
  <c r="U28" i="1"/>
  <c r="S28" i="1" s="1"/>
  <c r="U27" i="1"/>
  <c r="S27" i="1"/>
  <c r="U26" i="1"/>
  <c r="S26" i="1"/>
  <c r="U25" i="1"/>
  <c r="S25" i="1"/>
  <c r="U24" i="1"/>
  <c r="S24" i="1"/>
  <c r="U23" i="1"/>
  <c r="S23" i="1" s="1"/>
  <c r="U22" i="1"/>
  <c r="S22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U3" i="1"/>
  <c r="S3" i="1" s="1"/>
  <c r="T3" i="1" s="1"/>
  <c r="U4" i="1"/>
  <c r="S4" i="1" s="1"/>
  <c r="U5" i="1"/>
  <c r="S5" i="1" s="1"/>
  <c r="U6" i="1"/>
  <c r="S6" i="1" s="1"/>
  <c r="U7" i="1"/>
  <c r="S7" i="1" s="1"/>
  <c r="U8" i="1"/>
  <c r="S8" i="1" s="1"/>
  <c r="U9" i="1"/>
  <c r="S9" i="1" s="1"/>
  <c r="U10" i="1"/>
  <c r="S10" i="1" s="1"/>
  <c r="U11" i="1"/>
  <c r="S11" i="1" s="1"/>
  <c r="U12" i="1"/>
  <c r="S12" i="1" s="1"/>
  <c r="U13" i="1"/>
  <c r="S13" i="1" s="1"/>
  <c r="U14" i="1"/>
  <c r="S14" i="1" s="1"/>
  <c r="U15" i="1"/>
  <c r="S15" i="1" s="1"/>
  <c r="U16" i="1"/>
  <c r="S16" i="1" s="1"/>
  <c r="U17" i="1"/>
  <c r="S17" i="1" s="1"/>
  <c r="T17" i="1" s="1"/>
  <c r="U18" i="1"/>
  <c r="S18" i="1" s="1"/>
  <c r="U19" i="1"/>
  <c r="S19" i="1" s="1"/>
  <c r="U20" i="1"/>
  <c r="S20" i="1" s="1"/>
  <c r="U21" i="1"/>
  <c r="S21" i="1" s="1"/>
  <c r="U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  <c r="T19" i="1" l="1"/>
  <c r="T11" i="1"/>
  <c r="T18" i="1"/>
  <c r="T16" i="1"/>
  <c r="T8" i="1"/>
  <c r="S2" i="1"/>
  <c r="T2" i="1" s="1"/>
  <c r="T15" i="1"/>
  <c r="T7" i="1"/>
  <c r="T10" i="1"/>
  <c r="T14" i="1"/>
  <c r="T13" i="1"/>
  <c r="T9" i="1"/>
  <c r="T6" i="1"/>
  <c r="T21" i="1"/>
  <c r="T5" i="1"/>
  <c r="T20" i="1"/>
  <c r="T12" i="1"/>
  <c r="T4" i="1"/>
</calcChain>
</file>

<file path=xl/sharedStrings.xml><?xml version="1.0" encoding="utf-8"?>
<sst xmlns="http://schemas.openxmlformats.org/spreadsheetml/2006/main" count="26" uniqueCount="26">
  <si>
    <t>Frame number</t>
  </si>
  <si>
    <t>Heights 1.1</t>
  </si>
  <si>
    <t>Heights 1.2</t>
  </si>
  <si>
    <t>Heights 1.3</t>
  </si>
  <si>
    <t>Heights 1.4</t>
  </si>
  <si>
    <t>Heights 2.1</t>
  </si>
  <si>
    <t>Heights 2.2</t>
  </si>
  <si>
    <t>Heights 2.3</t>
  </si>
  <si>
    <t>Heights 2.4</t>
  </si>
  <si>
    <t>Heights 3.1</t>
  </si>
  <si>
    <t>Heights 3.2</t>
  </si>
  <si>
    <t>Heights 3.3</t>
  </si>
  <si>
    <t>Heights 3.4</t>
  </si>
  <si>
    <t>Heights 4.1</t>
  </si>
  <si>
    <t>Heights 4.2</t>
  </si>
  <si>
    <t>Heights 4.3</t>
  </si>
  <si>
    <t>Heights 4.4</t>
  </si>
  <si>
    <t>Frame area (73x73cm)</t>
  </si>
  <si>
    <t>Volume frame (m3)</t>
  </si>
  <si>
    <t>Volume with chamber (m3)</t>
  </si>
  <si>
    <t>Average height (cm)</t>
  </si>
  <si>
    <t>Shared space frame-chamber (cm)</t>
  </si>
  <si>
    <t>Height chamber (cm)</t>
  </si>
  <si>
    <t>Extra volume (m3)</t>
  </si>
  <si>
    <t>Volume chamber (m3)</t>
  </si>
  <si>
    <t>Area chamber (cm2)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</si>
</sst>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2" fontId="4" fillId="0" borderId="0" xfId="1" applyNumberFormat="1" applyAlignment="1">
      <alignment horizontal="center"/>
    </xf>
    <xf numFmtId="2" fontId="0" fillId="0" borderId="0" xfId="0" applyNumberFormat="1"/>
    <xf numFmtId="2" fontId="5" fillId="2" borderId="0" xfId="0" applyNumberFormat="1" applyFont="1" applyFill="1"/>
    <xf numFmtId="0" fontId="3" fillId="3" borderId="0" xfId="0" applyFont="1" applyFill="1" applyAlignment="1">
      <alignment vertical="center" wrapText="1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2">
    <cellStyle name="Normal 2" xfId="1" xr:uid="{85413125-0EA9-4048-BE97-E5CA0921221F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topLeftCell="A7" zoomScale="220" zoomScaleNormal="220" workbookViewId="0">
      <selection activeCell="AA26" sqref="AA26"/>
    </sheetView>
  </sheetViews>
  <sheetFormatPr baseColWidth="10" defaultColWidth="8.83203125" defaultRowHeight="15" x14ac:dyDescent="0.2"/>
  <cols>
    <col min="18" max="18" width="11" customWidth="1"/>
    <col min="20" max="20" width="11.33203125" style="7" customWidth="1"/>
    <col min="21" max="21" width="8.1640625" bestFit="1" customWidth="1"/>
  </cols>
  <sheetData>
    <row r="1" spans="1:26" ht="8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  <c r="U1" s="2" t="s">
        <v>20</v>
      </c>
      <c r="V1" s="2" t="s">
        <v>21</v>
      </c>
      <c r="W1" s="2" t="s">
        <v>22</v>
      </c>
      <c r="X1" s="2" t="s">
        <v>25</v>
      </c>
      <c r="Y1" s="2" t="s">
        <v>23</v>
      </c>
      <c r="Z1" s="2" t="s">
        <v>24</v>
      </c>
    </row>
    <row r="2" spans="1:26" ht="16" x14ac:dyDescent="0.2">
      <c r="A2" s="1">
        <v>1</v>
      </c>
      <c r="B2" s="3">
        <v>12.5</v>
      </c>
      <c r="C2" s="3">
        <v>10.5</v>
      </c>
      <c r="D2" s="3">
        <v>11.5</v>
      </c>
      <c r="E2" s="3">
        <v>9.6999999999999993</v>
      </c>
      <c r="F2" s="3">
        <v>11</v>
      </c>
      <c r="G2" s="3">
        <v>12</v>
      </c>
      <c r="H2" s="3">
        <v>9.6999999999999993</v>
      </c>
      <c r="I2" s="3">
        <v>10.5</v>
      </c>
      <c r="J2" s="3">
        <v>9.6999999999999993</v>
      </c>
      <c r="K2" s="3">
        <v>10</v>
      </c>
      <c r="L2" s="3">
        <v>10</v>
      </c>
      <c r="M2" s="3">
        <v>10.3</v>
      </c>
      <c r="N2" s="3">
        <v>11.2</v>
      </c>
      <c r="O2" s="3">
        <v>10</v>
      </c>
      <c r="P2" s="3">
        <v>10.5</v>
      </c>
      <c r="Q2" s="3">
        <v>10</v>
      </c>
      <c r="R2" s="1">
        <f>0.73*0.73</f>
        <v>0.53289999999999993</v>
      </c>
      <c r="S2">
        <f>+(AVERAGE(U2/100*R2))</f>
        <v>5.6320868749999989E-2</v>
      </c>
      <c r="T2" s="7">
        <f>+Z2+S2-Y2</f>
        <v>0.17163336874999999</v>
      </c>
      <c r="U2" s="4">
        <f>+AVERAGE(B2:Q2)</f>
        <v>10.56875</v>
      </c>
      <c r="V2">
        <v>0</v>
      </c>
      <c r="W2">
        <v>20.5</v>
      </c>
      <c r="X2">
        <f>75*75</f>
        <v>5625</v>
      </c>
      <c r="Y2">
        <f>+V2*R2</f>
        <v>0</v>
      </c>
      <c r="Z2">
        <f>+(X2/10000)*(W2/100)</f>
        <v>0.1153125</v>
      </c>
    </row>
    <row r="3" spans="1:26" ht="16" x14ac:dyDescent="0.2">
      <c r="A3" s="1">
        <v>2</v>
      </c>
      <c r="B3" s="3">
        <v>5.7</v>
      </c>
      <c r="C3" s="3">
        <v>6.5</v>
      </c>
      <c r="D3" s="3">
        <v>7.2</v>
      </c>
      <c r="E3" s="3">
        <v>9.5</v>
      </c>
      <c r="F3" s="3">
        <v>5.8</v>
      </c>
      <c r="G3" s="3">
        <v>6.4</v>
      </c>
      <c r="H3" s="3">
        <v>6.7</v>
      </c>
      <c r="I3" s="3">
        <v>9.8000000000000007</v>
      </c>
      <c r="J3" s="3">
        <v>8.8000000000000007</v>
      </c>
      <c r="K3" s="3">
        <v>7</v>
      </c>
      <c r="L3" s="3">
        <v>5.5</v>
      </c>
      <c r="M3" s="3">
        <v>5.7</v>
      </c>
      <c r="N3" s="3">
        <v>8</v>
      </c>
      <c r="O3" s="3">
        <v>6.7</v>
      </c>
      <c r="P3" s="3">
        <v>5.5</v>
      </c>
      <c r="Q3" s="3">
        <v>6.2</v>
      </c>
      <c r="R3" s="1">
        <f t="shared" ref="R3:R37" si="0">0.73*0.73</f>
        <v>0.53289999999999993</v>
      </c>
      <c r="S3">
        <f t="shared" ref="S3:S37" si="1">+(AVERAGE(U3/100*R3))</f>
        <v>3.6969937500000001E-2</v>
      </c>
      <c r="T3" s="7">
        <f t="shared" ref="T3:T37" si="2">+Z3+S3-Y3</f>
        <v>0.15228243750000001</v>
      </c>
      <c r="U3" s="4">
        <f t="shared" ref="U3:U37" si="3">+AVERAGE(B3:Q3)</f>
        <v>6.9375</v>
      </c>
      <c r="V3">
        <v>0</v>
      </c>
      <c r="W3">
        <v>20.5</v>
      </c>
      <c r="X3">
        <f t="shared" ref="X3:X37" si="4">75*75</f>
        <v>5625</v>
      </c>
      <c r="Y3">
        <f t="shared" ref="Y3:Y21" si="5">+V3*R3</f>
        <v>0</v>
      </c>
      <c r="Z3">
        <f t="shared" ref="Z3:Z21" si="6">+(X3/10000)*(W3/100)</f>
        <v>0.1153125</v>
      </c>
    </row>
    <row r="4" spans="1:26" ht="16" x14ac:dyDescent="0.2">
      <c r="A4" s="1">
        <v>3</v>
      </c>
      <c r="B4" s="3">
        <v>9.4</v>
      </c>
      <c r="C4" s="3">
        <v>9</v>
      </c>
      <c r="D4" s="3">
        <v>11.1</v>
      </c>
      <c r="E4" s="3">
        <v>11.5</v>
      </c>
      <c r="F4" s="3">
        <v>9.4</v>
      </c>
      <c r="G4" s="3">
        <v>10.5</v>
      </c>
      <c r="H4" s="3">
        <v>11.2</v>
      </c>
      <c r="I4" s="3">
        <v>11</v>
      </c>
      <c r="J4" s="3">
        <v>9.1999999999999993</v>
      </c>
      <c r="K4" s="3">
        <v>9.6999999999999993</v>
      </c>
      <c r="L4" s="3">
        <v>10</v>
      </c>
      <c r="M4" s="3">
        <v>9.5</v>
      </c>
      <c r="N4" s="3">
        <v>10.7</v>
      </c>
      <c r="O4" s="3">
        <v>9.8000000000000007</v>
      </c>
      <c r="P4" s="3">
        <v>10.9</v>
      </c>
      <c r="Q4" s="3">
        <v>10.1</v>
      </c>
      <c r="R4" s="1">
        <f t="shared" si="0"/>
        <v>0.53289999999999993</v>
      </c>
      <c r="S4">
        <f t="shared" si="1"/>
        <v>5.4289187499999988E-2</v>
      </c>
      <c r="T4" s="7">
        <f t="shared" si="2"/>
        <v>0.16960168749999999</v>
      </c>
      <c r="U4" s="4">
        <f t="shared" si="3"/>
        <v>10.1875</v>
      </c>
      <c r="V4">
        <v>0</v>
      </c>
      <c r="W4">
        <v>20.5</v>
      </c>
      <c r="X4">
        <f t="shared" si="4"/>
        <v>5625</v>
      </c>
      <c r="Y4">
        <f t="shared" si="5"/>
        <v>0</v>
      </c>
      <c r="Z4">
        <f t="shared" si="6"/>
        <v>0.1153125</v>
      </c>
    </row>
    <row r="5" spans="1:26" ht="16" x14ac:dyDescent="0.2">
      <c r="A5" s="1">
        <v>4</v>
      </c>
      <c r="B5" s="3">
        <v>8.1</v>
      </c>
      <c r="C5" s="3">
        <v>8.5</v>
      </c>
      <c r="D5" s="3">
        <v>7.2</v>
      </c>
      <c r="E5" s="3">
        <v>5.6</v>
      </c>
      <c r="F5" s="3">
        <v>7.3</v>
      </c>
      <c r="G5" s="3">
        <v>7.8</v>
      </c>
      <c r="H5" s="3">
        <v>5.8</v>
      </c>
      <c r="I5" s="3">
        <v>5.3</v>
      </c>
      <c r="J5" s="3">
        <v>5.3</v>
      </c>
      <c r="K5" s="3">
        <v>5.5</v>
      </c>
      <c r="L5" s="3">
        <v>6.8</v>
      </c>
      <c r="M5" s="3">
        <v>6.5</v>
      </c>
      <c r="N5" s="3">
        <v>5.0999999999999996</v>
      </c>
      <c r="O5" s="3">
        <v>6</v>
      </c>
      <c r="P5" s="3">
        <v>6.1</v>
      </c>
      <c r="Q5" s="3">
        <v>5.8</v>
      </c>
      <c r="R5" s="1">
        <f t="shared" si="0"/>
        <v>0.53289999999999993</v>
      </c>
      <c r="S5">
        <f t="shared" si="1"/>
        <v>3.4205518749999983E-2</v>
      </c>
      <c r="T5" s="7">
        <f t="shared" si="2"/>
        <v>0.14951801874999998</v>
      </c>
      <c r="U5" s="4">
        <f t="shared" si="3"/>
        <v>6.4187499999999975</v>
      </c>
      <c r="V5">
        <v>0</v>
      </c>
      <c r="W5">
        <v>20.5</v>
      </c>
      <c r="X5">
        <f t="shared" si="4"/>
        <v>5625</v>
      </c>
      <c r="Y5">
        <f t="shared" si="5"/>
        <v>0</v>
      </c>
      <c r="Z5">
        <f t="shared" si="6"/>
        <v>0.1153125</v>
      </c>
    </row>
    <row r="6" spans="1:26" ht="16" x14ac:dyDescent="0.2">
      <c r="A6" s="1">
        <v>5</v>
      </c>
      <c r="B6" s="3">
        <v>11</v>
      </c>
      <c r="C6" s="3">
        <v>10.9</v>
      </c>
      <c r="D6" s="3">
        <v>12.3</v>
      </c>
      <c r="E6" s="3">
        <v>10.9</v>
      </c>
      <c r="F6" s="3">
        <v>12.1</v>
      </c>
      <c r="G6" s="3">
        <v>12</v>
      </c>
      <c r="H6" s="3">
        <v>11.6</v>
      </c>
      <c r="I6" s="3">
        <v>11.4</v>
      </c>
      <c r="J6" s="3">
        <v>12.4</v>
      </c>
      <c r="K6" s="3">
        <v>12.2</v>
      </c>
      <c r="L6" s="3">
        <v>12</v>
      </c>
      <c r="M6" s="3">
        <v>12</v>
      </c>
      <c r="N6" s="3">
        <v>12.3</v>
      </c>
      <c r="O6" s="3">
        <v>12.5</v>
      </c>
      <c r="P6" s="3">
        <v>12.8</v>
      </c>
      <c r="Q6" s="3">
        <v>12.3</v>
      </c>
      <c r="R6" s="1">
        <f t="shared" si="0"/>
        <v>0.53289999999999993</v>
      </c>
      <c r="S6">
        <f t="shared" si="1"/>
        <v>6.3515018750000013E-2</v>
      </c>
      <c r="T6" s="7">
        <f t="shared" si="2"/>
        <v>0.17882751875000003</v>
      </c>
      <c r="U6" s="4">
        <f t="shared" si="3"/>
        <v>11.918750000000003</v>
      </c>
      <c r="V6">
        <v>0</v>
      </c>
      <c r="W6">
        <v>20.5</v>
      </c>
      <c r="X6">
        <f t="shared" si="4"/>
        <v>5625</v>
      </c>
      <c r="Y6">
        <f t="shared" si="5"/>
        <v>0</v>
      </c>
      <c r="Z6">
        <f t="shared" si="6"/>
        <v>0.1153125</v>
      </c>
    </row>
    <row r="7" spans="1:26" ht="16" x14ac:dyDescent="0.2">
      <c r="A7" s="1">
        <v>6</v>
      </c>
      <c r="B7" s="3">
        <v>7.4</v>
      </c>
      <c r="C7" s="3">
        <v>8</v>
      </c>
      <c r="D7" s="3">
        <v>7.5</v>
      </c>
      <c r="E7" s="3">
        <v>7.3</v>
      </c>
      <c r="F7" s="3">
        <v>8.3000000000000007</v>
      </c>
      <c r="G7" s="3">
        <v>7.3</v>
      </c>
      <c r="H7" s="3">
        <v>6.9</v>
      </c>
      <c r="I7" s="3">
        <v>7.4</v>
      </c>
      <c r="J7" s="3">
        <v>8.1999999999999993</v>
      </c>
      <c r="K7" s="3">
        <v>7.7</v>
      </c>
      <c r="L7" s="3">
        <v>8.3000000000000007</v>
      </c>
      <c r="M7" s="3">
        <v>7.9</v>
      </c>
      <c r="N7" s="3">
        <v>8.8000000000000007</v>
      </c>
      <c r="O7" s="3">
        <v>7.8</v>
      </c>
      <c r="P7" s="3">
        <v>7.8</v>
      </c>
      <c r="Q7" s="3">
        <v>8.3000000000000007</v>
      </c>
      <c r="R7" s="1">
        <f t="shared" si="0"/>
        <v>0.53289999999999993</v>
      </c>
      <c r="S7">
        <f t="shared" si="1"/>
        <v>4.1599506249999987E-2</v>
      </c>
      <c r="T7" s="7">
        <f t="shared" si="2"/>
        <v>0.15691200624999999</v>
      </c>
      <c r="U7" s="4">
        <f t="shared" si="3"/>
        <v>7.8062499999999995</v>
      </c>
      <c r="V7">
        <v>0</v>
      </c>
      <c r="W7">
        <v>20.5</v>
      </c>
      <c r="X7">
        <f t="shared" si="4"/>
        <v>5625</v>
      </c>
      <c r="Y7">
        <f t="shared" si="5"/>
        <v>0</v>
      </c>
      <c r="Z7">
        <f t="shared" si="6"/>
        <v>0.1153125</v>
      </c>
    </row>
    <row r="8" spans="1:26" ht="16" x14ac:dyDescent="0.2">
      <c r="A8" s="1">
        <v>7</v>
      </c>
      <c r="B8" s="3">
        <v>10.199999999999999</v>
      </c>
      <c r="C8" s="3">
        <v>11</v>
      </c>
      <c r="D8" s="3">
        <v>11</v>
      </c>
      <c r="E8" s="3">
        <v>10.199999999999999</v>
      </c>
      <c r="F8" s="3">
        <v>10.7</v>
      </c>
      <c r="G8" s="3">
        <v>11.3</v>
      </c>
      <c r="H8" s="3">
        <v>10.4</v>
      </c>
      <c r="I8" s="3">
        <v>9.4</v>
      </c>
      <c r="J8" s="3">
        <v>11</v>
      </c>
      <c r="K8" s="3">
        <v>11</v>
      </c>
      <c r="L8" s="3">
        <v>11.7</v>
      </c>
      <c r="M8" s="3">
        <v>10.5</v>
      </c>
      <c r="N8" s="3">
        <v>11.1</v>
      </c>
      <c r="O8" s="3">
        <v>11.2</v>
      </c>
      <c r="P8" s="3">
        <v>11.9</v>
      </c>
      <c r="Q8" s="3">
        <v>10.8</v>
      </c>
      <c r="R8" s="1">
        <f t="shared" si="0"/>
        <v>0.53289999999999993</v>
      </c>
      <c r="S8">
        <f t="shared" si="1"/>
        <v>5.7753037500000007E-2</v>
      </c>
      <c r="T8" s="7">
        <f t="shared" si="2"/>
        <v>0.17306553750000001</v>
      </c>
      <c r="U8" s="4">
        <f t="shared" si="3"/>
        <v>10.837500000000002</v>
      </c>
      <c r="V8">
        <v>0</v>
      </c>
      <c r="W8">
        <v>20.5</v>
      </c>
      <c r="X8">
        <f t="shared" si="4"/>
        <v>5625</v>
      </c>
      <c r="Y8">
        <f t="shared" si="5"/>
        <v>0</v>
      </c>
      <c r="Z8">
        <f t="shared" si="6"/>
        <v>0.1153125</v>
      </c>
    </row>
    <row r="9" spans="1:26" ht="16" x14ac:dyDescent="0.2">
      <c r="A9" s="1">
        <v>8</v>
      </c>
      <c r="B9" s="3">
        <v>7.5</v>
      </c>
      <c r="C9" s="3">
        <v>7.7</v>
      </c>
      <c r="D9" s="3">
        <v>8.5</v>
      </c>
      <c r="E9" s="3">
        <v>7.4</v>
      </c>
      <c r="F9" s="3">
        <v>8.4</v>
      </c>
      <c r="G9" s="3">
        <v>8.3000000000000007</v>
      </c>
      <c r="H9" s="3">
        <v>7.2</v>
      </c>
      <c r="I9" s="3">
        <v>7.2</v>
      </c>
      <c r="J9" s="3">
        <v>7.2</v>
      </c>
      <c r="K9" s="3">
        <v>7.5</v>
      </c>
      <c r="L9" s="3">
        <v>7.8</v>
      </c>
      <c r="M9" s="3">
        <v>8.4</v>
      </c>
      <c r="N9" s="3">
        <v>7.6</v>
      </c>
      <c r="O9" s="3">
        <v>7.5</v>
      </c>
      <c r="P9" s="3">
        <v>8</v>
      </c>
      <c r="Q9" s="3">
        <v>7.7</v>
      </c>
      <c r="R9" s="1">
        <f t="shared" si="0"/>
        <v>0.53289999999999993</v>
      </c>
      <c r="S9">
        <f t="shared" si="1"/>
        <v>4.1266443749999999E-2</v>
      </c>
      <c r="T9" s="7">
        <f t="shared" si="2"/>
        <v>0.15657894375</v>
      </c>
      <c r="U9" s="4">
        <f t="shared" si="3"/>
        <v>7.7437500000000004</v>
      </c>
      <c r="V9">
        <v>0</v>
      </c>
      <c r="W9">
        <v>20.5</v>
      </c>
      <c r="X9">
        <f t="shared" si="4"/>
        <v>5625</v>
      </c>
      <c r="Y9">
        <f t="shared" si="5"/>
        <v>0</v>
      </c>
      <c r="Z9">
        <f t="shared" si="6"/>
        <v>0.1153125</v>
      </c>
    </row>
    <row r="10" spans="1:26" ht="16" x14ac:dyDescent="0.2">
      <c r="A10" s="1">
        <v>9</v>
      </c>
      <c r="B10" s="3">
        <v>12.3</v>
      </c>
      <c r="C10" s="3">
        <v>12.9</v>
      </c>
      <c r="D10" s="3">
        <v>13</v>
      </c>
      <c r="E10" s="3">
        <v>11.5</v>
      </c>
      <c r="F10" s="3">
        <v>11.2</v>
      </c>
      <c r="G10" s="3">
        <v>13.3</v>
      </c>
      <c r="H10" s="3">
        <v>13.4</v>
      </c>
      <c r="I10" s="3">
        <v>12.3</v>
      </c>
      <c r="J10" s="3">
        <v>11.9</v>
      </c>
      <c r="K10" s="3">
        <v>13.4</v>
      </c>
      <c r="L10" s="3">
        <v>13</v>
      </c>
      <c r="M10" s="3">
        <v>12.4</v>
      </c>
      <c r="N10" s="3">
        <v>13</v>
      </c>
      <c r="O10" s="3">
        <v>13.4</v>
      </c>
      <c r="P10" s="3">
        <v>13.6</v>
      </c>
      <c r="Q10" s="3">
        <v>12.2</v>
      </c>
      <c r="R10" s="1">
        <f t="shared" si="0"/>
        <v>0.53289999999999993</v>
      </c>
      <c r="S10">
        <f t="shared" si="1"/>
        <v>6.7545074999999996E-2</v>
      </c>
      <c r="T10" s="7">
        <f t="shared" si="2"/>
        <v>0.18285757499999999</v>
      </c>
      <c r="U10" s="4">
        <f t="shared" si="3"/>
        <v>12.675000000000001</v>
      </c>
      <c r="V10">
        <v>0</v>
      </c>
      <c r="W10">
        <v>20.5</v>
      </c>
      <c r="X10">
        <f t="shared" si="4"/>
        <v>5625</v>
      </c>
      <c r="Y10">
        <f t="shared" si="5"/>
        <v>0</v>
      </c>
      <c r="Z10">
        <f t="shared" si="6"/>
        <v>0.1153125</v>
      </c>
    </row>
    <row r="11" spans="1:26" ht="16" x14ac:dyDescent="0.2">
      <c r="A11" s="1">
        <v>10</v>
      </c>
      <c r="B11" s="3">
        <v>6.5</v>
      </c>
      <c r="C11" s="3">
        <v>7.2</v>
      </c>
      <c r="D11" s="3">
        <v>6.7</v>
      </c>
      <c r="E11" s="3">
        <v>7.5</v>
      </c>
      <c r="F11" s="3">
        <v>6</v>
      </c>
      <c r="G11" s="3">
        <v>6.3</v>
      </c>
      <c r="H11" s="3">
        <v>7</v>
      </c>
      <c r="I11" s="3">
        <v>9</v>
      </c>
      <c r="J11" s="3">
        <v>7.7</v>
      </c>
      <c r="K11" s="3">
        <v>7</v>
      </c>
      <c r="L11" s="3">
        <v>7.2</v>
      </c>
      <c r="M11" s="3">
        <v>6.6</v>
      </c>
      <c r="N11" s="3">
        <v>8.5</v>
      </c>
      <c r="O11" s="3">
        <v>7.4</v>
      </c>
      <c r="P11" s="3">
        <v>7</v>
      </c>
      <c r="Q11" s="3">
        <v>7.3</v>
      </c>
      <c r="R11" s="1">
        <f t="shared" si="0"/>
        <v>0.53289999999999993</v>
      </c>
      <c r="S11">
        <f t="shared" si="1"/>
        <v>3.8268881249999998E-2</v>
      </c>
      <c r="T11" s="7">
        <f t="shared" si="2"/>
        <v>0.15358138124999998</v>
      </c>
      <c r="U11" s="4">
        <f t="shared" si="3"/>
        <v>7.1812500000000004</v>
      </c>
      <c r="V11">
        <v>0</v>
      </c>
      <c r="W11">
        <v>20.5</v>
      </c>
      <c r="X11">
        <f t="shared" si="4"/>
        <v>5625</v>
      </c>
      <c r="Y11">
        <f t="shared" si="5"/>
        <v>0</v>
      </c>
      <c r="Z11">
        <f t="shared" si="6"/>
        <v>0.1153125</v>
      </c>
    </row>
    <row r="12" spans="1:26" ht="16" x14ac:dyDescent="0.2">
      <c r="A12" s="1">
        <v>11</v>
      </c>
      <c r="B12" s="8">
        <v>10.6</v>
      </c>
      <c r="C12" s="8">
        <v>10.5</v>
      </c>
      <c r="D12" s="8">
        <v>12</v>
      </c>
      <c r="E12" s="8">
        <v>11.9</v>
      </c>
      <c r="F12" s="8">
        <v>10.8</v>
      </c>
      <c r="G12" s="8">
        <v>10.6</v>
      </c>
      <c r="H12" s="8">
        <v>12.2</v>
      </c>
      <c r="I12" s="8">
        <v>11.5</v>
      </c>
      <c r="J12" s="8">
        <v>12.5</v>
      </c>
      <c r="K12" s="8">
        <v>12</v>
      </c>
      <c r="L12" s="8">
        <v>11.8</v>
      </c>
      <c r="M12" s="8">
        <v>10</v>
      </c>
      <c r="N12" s="8">
        <v>12</v>
      </c>
      <c r="O12" s="8">
        <v>13.3</v>
      </c>
      <c r="P12" s="8">
        <v>12.3</v>
      </c>
      <c r="Q12" s="8">
        <v>12.2</v>
      </c>
      <c r="R12" s="1">
        <f t="shared" si="0"/>
        <v>0.53289999999999993</v>
      </c>
      <c r="S12">
        <f t="shared" si="1"/>
        <v>6.2016237499999988E-2</v>
      </c>
      <c r="T12" s="7">
        <f t="shared" si="2"/>
        <v>0.1773287375</v>
      </c>
      <c r="U12" s="4">
        <f t="shared" si="3"/>
        <v>11.637499999999999</v>
      </c>
      <c r="V12">
        <v>0</v>
      </c>
      <c r="W12">
        <v>20.5</v>
      </c>
      <c r="X12">
        <f t="shared" si="4"/>
        <v>5625</v>
      </c>
      <c r="Y12">
        <f t="shared" si="5"/>
        <v>0</v>
      </c>
      <c r="Z12">
        <f t="shared" si="6"/>
        <v>0.1153125</v>
      </c>
    </row>
    <row r="13" spans="1:26" ht="16" x14ac:dyDescent="0.2">
      <c r="A13" s="1">
        <v>12</v>
      </c>
      <c r="B13" s="8">
        <v>9.8000000000000007</v>
      </c>
      <c r="C13" s="8">
        <v>8.9</v>
      </c>
      <c r="D13" s="8">
        <v>9.4</v>
      </c>
      <c r="E13" s="8">
        <v>9.1999999999999993</v>
      </c>
      <c r="F13" s="8">
        <v>7.2</v>
      </c>
      <c r="G13" s="8">
        <v>8.1999999999999993</v>
      </c>
      <c r="H13" s="8">
        <v>9.1999999999999993</v>
      </c>
      <c r="I13" s="8">
        <v>9.6999999999999993</v>
      </c>
      <c r="J13" s="8">
        <v>9.8000000000000007</v>
      </c>
      <c r="K13" s="8">
        <v>9.9</v>
      </c>
      <c r="L13" s="8">
        <v>7.6</v>
      </c>
      <c r="M13" s="8">
        <v>8</v>
      </c>
      <c r="N13" s="8">
        <v>10.5</v>
      </c>
      <c r="O13" s="8">
        <v>9.3000000000000007</v>
      </c>
      <c r="P13" s="8">
        <v>9.5</v>
      </c>
      <c r="Q13" s="8">
        <v>8.5</v>
      </c>
      <c r="R13" s="1">
        <f t="shared" si="0"/>
        <v>0.53289999999999993</v>
      </c>
      <c r="S13">
        <f t="shared" si="1"/>
        <v>4.8194143749999988E-2</v>
      </c>
      <c r="T13" s="7">
        <f t="shared" si="2"/>
        <v>0.16350664374999999</v>
      </c>
      <c r="U13" s="4">
        <f t="shared" si="3"/>
        <v>9.0437499999999993</v>
      </c>
      <c r="V13">
        <v>0</v>
      </c>
      <c r="W13">
        <v>20.5</v>
      </c>
      <c r="X13">
        <f t="shared" si="4"/>
        <v>5625</v>
      </c>
      <c r="Y13">
        <f t="shared" si="5"/>
        <v>0</v>
      </c>
      <c r="Z13">
        <f t="shared" si="6"/>
        <v>0.1153125</v>
      </c>
    </row>
    <row r="14" spans="1:26" ht="16" x14ac:dyDescent="0.2">
      <c r="A14" s="1">
        <v>13</v>
      </c>
      <c r="B14" s="8">
        <v>11.5</v>
      </c>
      <c r="C14" s="8">
        <v>11.3</v>
      </c>
      <c r="D14" s="8">
        <v>12.7</v>
      </c>
      <c r="E14" s="8">
        <v>12.4</v>
      </c>
      <c r="F14" s="8">
        <v>11.5</v>
      </c>
      <c r="G14" s="8">
        <v>12.4</v>
      </c>
      <c r="H14" s="8">
        <v>11.2</v>
      </c>
      <c r="I14" s="8">
        <v>12.4</v>
      </c>
      <c r="J14" s="8">
        <v>11.4</v>
      </c>
      <c r="K14" s="8">
        <v>12.6</v>
      </c>
      <c r="L14" s="8">
        <v>11.6</v>
      </c>
      <c r="M14" s="8">
        <v>10.9</v>
      </c>
      <c r="N14" s="8">
        <v>12.4</v>
      </c>
      <c r="O14" s="8">
        <v>12.4</v>
      </c>
      <c r="P14" s="8">
        <v>10.8</v>
      </c>
      <c r="Q14" s="8">
        <v>10.7</v>
      </c>
      <c r="R14" s="1">
        <f t="shared" si="0"/>
        <v>0.53289999999999993</v>
      </c>
      <c r="S14">
        <f t="shared" si="1"/>
        <v>6.2682362499999991E-2</v>
      </c>
      <c r="T14" s="7">
        <f t="shared" si="2"/>
        <v>0.17799486249999999</v>
      </c>
      <c r="U14" s="4">
        <f t="shared" si="3"/>
        <v>11.762500000000001</v>
      </c>
      <c r="V14">
        <v>0</v>
      </c>
      <c r="W14">
        <v>20.5</v>
      </c>
      <c r="X14">
        <f t="shared" si="4"/>
        <v>5625</v>
      </c>
      <c r="Y14">
        <f t="shared" si="5"/>
        <v>0</v>
      </c>
      <c r="Z14">
        <f t="shared" si="6"/>
        <v>0.1153125</v>
      </c>
    </row>
    <row r="15" spans="1:26" ht="16" x14ac:dyDescent="0.2">
      <c r="A15" s="1">
        <v>14</v>
      </c>
      <c r="B15" s="8">
        <v>7.2</v>
      </c>
      <c r="C15" s="8">
        <v>7.5</v>
      </c>
      <c r="D15" s="8">
        <v>7.5</v>
      </c>
      <c r="E15" s="8">
        <v>5.9</v>
      </c>
      <c r="F15" s="8">
        <v>8.3000000000000007</v>
      </c>
      <c r="G15" s="8">
        <v>7.9</v>
      </c>
      <c r="H15" s="8">
        <v>7.1</v>
      </c>
      <c r="I15" s="8">
        <v>3.5</v>
      </c>
      <c r="J15" s="8">
        <v>8.5</v>
      </c>
      <c r="K15" s="8">
        <v>8.5</v>
      </c>
      <c r="L15" s="8">
        <v>7.6</v>
      </c>
      <c r="M15" s="8">
        <v>5.8</v>
      </c>
      <c r="N15" s="8">
        <v>5.5</v>
      </c>
      <c r="O15" s="8">
        <v>7</v>
      </c>
      <c r="P15" s="8">
        <v>7.5</v>
      </c>
      <c r="Q15" s="8">
        <v>8.1</v>
      </c>
      <c r="R15" s="1">
        <f t="shared" si="0"/>
        <v>0.53289999999999993</v>
      </c>
      <c r="S15">
        <f t="shared" si="1"/>
        <v>3.7769287499999991E-2</v>
      </c>
      <c r="T15" s="7">
        <f t="shared" si="2"/>
        <v>0.15308178749999998</v>
      </c>
      <c r="U15" s="4">
        <f t="shared" si="3"/>
        <v>7.0874999999999995</v>
      </c>
      <c r="V15">
        <v>0</v>
      </c>
      <c r="W15">
        <v>20.5</v>
      </c>
      <c r="X15">
        <f t="shared" si="4"/>
        <v>5625</v>
      </c>
      <c r="Y15">
        <f t="shared" si="5"/>
        <v>0</v>
      </c>
      <c r="Z15">
        <f t="shared" si="6"/>
        <v>0.1153125</v>
      </c>
    </row>
    <row r="16" spans="1:26" ht="16" x14ac:dyDescent="0.2">
      <c r="A16" s="1">
        <v>15</v>
      </c>
      <c r="B16" s="8">
        <v>9.1</v>
      </c>
      <c r="C16" s="8">
        <v>8.6</v>
      </c>
      <c r="D16" s="8">
        <v>9.5</v>
      </c>
      <c r="E16" s="8">
        <v>9.4</v>
      </c>
      <c r="F16" s="8">
        <v>6.9</v>
      </c>
      <c r="G16" s="8">
        <v>8.1999999999999993</v>
      </c>
      <c r="H16" s="8">
        <v>8.1</v>
      </c>
      <c r="I16" s="8">
        <v>9.1</v>
      </c>
      <c r="J16" s="8">
        <v>7.9</v>
      </c>
      <c r="K16" s="8">
        <v>7</v>
      </c>
      <c r="L16" s="8">
        <v>8.9</v>
      </c>
      <c r="M16" s="8">
        <v>8.1999999999999993</v>
      </c>
      <c r="N16" s="8">
        <v>8.3000000000000007</v>
      </c>
      <c r="O16" s="8">
        <v>8.4</v>
      </c>
      <c r="P16" s="8">
        <v>8.5</v>
      </c>
      <c r="Q16" s="8">
        <v>7.1</v>
      </c>
      <c r="R16" s="1">
        <f t="shared" si="0"/>
        <v>0.53289999999999993</v>
      </c>
      <c r="S16">
        <f t="shared" si="1"/>
        <v>4.4363924999999998E-2</v>
      </c>
      <c r="T16" s="7">
        <f t="shared" si="2"/>
        <v>0.15967642500000001</v>
      </c>
      <c r="U16" s="4">
        <f t="shared" si="3"/>
        <v>8.3250000000000011</v>
      </c>
      <c r="V16">
        <v>0</v>
      </c>
      <c r="W16">
        <v>20.5</v>
      </c>
      <c r="X16">
        <f t="shared" si="4"/>
        <v>5625</v>
      </c>
      <c r="Y16">
        <f t="shared" si="5"/>
        <v>0</v>
      </c>
      <c r="Z16">
        <f t="shared" si="6"/>
        <v>0.1153125</v>
      </c>
    </row>
    <row r="17" spans="1:26" ht="16" x14ac:dyDescent="0.2">
      <c r="A17" s="1">
        <v>16</v>
      </c>
      <c r="B17" s="8">
        <v>9</v>
      </c>
      <c r="C17" s="8">
        <v>7.9</v>
      </c>
      <c r="D17" s="8">
        <v>6.5</v>
      </c>
      <c r="E17" s="8">
        <v>5.4</v>
      </c>
      <c r="F17" s="8">
        <v>8.5</v>
      </c>
      <c r="G17" s="8">
        <v>7</v>
      </c>
      <c r="H17" s="8">
        <v>5.3</v>
      </c>
      <c r="I17" s="8">
        <v>6</v>
      </c>
      <c r="J17" s="8">
        <v>8.6</v>
      </c>
      <c r="K17" s="8">
        <v>5.5</v>
      </c>
      <c r="L17" s="8">
        <v>5</v>
      </c>
      <c r="M17" s="8">
        <v>5</v>
      </c>
      <c r="N17" s="8">
        <v>4.5999999999999996</v>
      </c>
      <c r="O17" s="8">
        <v>4.5999999999999996</v>
      </c>
      <c r="P17" s="8">
        <v>6.9</v>
      </c>
      <c r="Q17" s="8">
        <v>8</v>
      </c>
      <c r="R17" s="1">
        <f t="shared" si="0"/>
        <v>0.53289999999999993</v>
      </c>
      <c r="S17">
        <f t="shared" si="1"/>
        <v>3.4571887499999988E-2</v>
      </c>
      <c r="T17" s="7">
        <f t="shared" si="2"/>
        <v>0.14988438749999999</v>
      </c>
      <c r="U17" s="4">
        <f t="shared" si="3"/>
        <v>6.4874999999999989</v>
      </c>
      <c r="V17">
        <v>0</v>
      </c>
      <c r="W17">
        <v>20.5</v>
      </c>
      <c r="X17">
        <f t="shared" si="4"/>
        <v>5625</v>
      </c>
      <c r="Y17">
        <f t="shared" si="5"/>
        <v>0</v>
      </c>
      <c r="Z17">
        <f t="shared" si="6"/>
        <v>0.1153125</v>
      </c>
    </row>
    <row r="18" spans="1:26" ht="16" x14ac:dyDescent="0.2">
      <c r="A18" s="1">
        <v>17</v>
      </c>
      <c r="B18" s="8">
        <v>12</v>
      </c>
      <c r="C18" s="8">
        <v>12.5</v>
      </c>
      <c r="D18" s="8">
        <v>11.8</v>
      </c>
      <c r="E18" s="8">
        <v>12</v>
      </c>
      <c r="F18" s="8">
        <v>11.3</v>
      </c>
      <c r="G18" s="8">
        <v>11.9</v>
      </c>
      <c r="H18" s="8">
        <v>12.3</v>
      </c>
      <c r="I18" s="8">
        <v>12.4</v>
      </c>
      <c r="J18" s="8">
        <v>12</v>
      </c>
      <c r="K18" s="8">
        <v>12.7</v>
      </c>
      <c r="L18" s="8">
        <v>12.5</v>
      </c>
      <c r="M18" s="8">
        <v>12.6</v>
      </c>
      <c r="N18" s="8">
        <v>13</v>
      </c>
      <c r="O18" s="8">
        <v>12.7</v>
      </c>
      <c r="P18" s="8">
        <v>12.7</v>
      </c>
      <c r="Q18" s="8">
        <v>11.5</v>
      </c>
      <c r="R18" s="1">
        <f t="shared" si="0"/>
        <v>0.53289999999999993</v>
      </c>
      <c r="S18">
        <f t="shared" si="1"/>
        <v>6.524694374999998E-2</v>
      </c>
      <c r="T18" s="7">
        <f t="shared" si="2"/>
        <v>0.18055944374999999</v>
      </c>
      <c r="U18" s="4">
        <f t="shared" si="3"/>
        <v>12.243749999999999</v>
      </c>
      <c r="V18">
        <v>0</v>
      </c>
      <c r="W18">
        <v>20.5</v>
      </c>
      <c r="X18">
        <f t="shared" si="4"/>
        <v>5625</v>
      </c>
      <c r="Y18">
        <f t="shared" si="5"/>
        <v>0</v>
      </c>
      <c r="Z18">
        <f t="shared" si="6"/>
        <v>0.1153125</v>
      </c>
    </row>
    <row r="19" spans="1:26" ht="16" x14ac:dyDescent="0.2">
      <c r="A19" s="1">
        <v>18</v>
      </c>
      <c r="B19" s="8">
        <v>9.6</v>
      </c>
      <c r="C19" s="8">
        <v>10.9</v>
      </c>
      <c r="D19" s="8">
        <v>10</v>
      </c>
      <c r="E19" s="8">
        <v>9</v>
      </c>
      <c r="F19" s="8">
        <v>8.6</v>
      </c>
      <c r="G19" s="8">
        <v>9.9</v>
      </c>
      <c r="H19" s="8">
        <v>9.3000000000000007</v>
      </c>
      <c r="I19" s="8">
        <v>8.6</v>
      </c>
      <c r="J19" s="8">
        <v>11</v>
      </c>
      <c r="K19" s="8">
        <v>10</v>
      </c>
      <c r="L19" s="8">
        <v>9.9</v>
      </c>
      <c r="M19" s="8">
        <v>9</v>
      </c>
      <c r="N19" s="8">
        <v>8</v>
      </c>
      <c r="O19" s="8">
        <v>8.1</v>
      </c>
      <c r="P19" s="8">
        <v>10</v>
      </c>
      <c r="Q19" s="8">
        <v>10</v>
      </c>
      <c r="R19" s="1">
        <f t="shared" si="0"/>
        <v>0.53289999999999993</v>
      </c>
      <c r="S19">
        <f t="shared" si="1"/>
        <v>5.059219375E-2</v>
      </c>
      <c r="T19" s="7">
        <f t="shared" si="2"/>
        <v>0.16590469375</v>
      </c>
      <c r="U19" s="4">
        <f t="shared" si="3"/>
        <v>9.4937500000000004</v>
      </c>
      <c r="V19">
        <v>0</v>
      </c>
      <c r="W19">
        <v>20.5</v>
      </c>
      <c r="X19">
        <f t="shared" si="4"/>
        <v>5625</v>
      </c>
      <c r="Y19">
        <f t="shared" si="5"/>
        <v>0</v>
      </c>
      <c r="Z19">
        <f t="shared" si="6"/>
        <v>0.1153125</v>
      </c>
    </row>
    <row r="20" spans="1:26" ht="16" x14ac:dyDescent="0.2">
      <c r="A20" s="1">
        <v>19</v>
      </c>
      <c r="B20" s="8">
        <v>11.1</v>
      </c>
      <c r="C20" s="8">
        <v>9.3000000000000007</v>
      </c>
      <c r="D20" s="8">
        <v>12.2</v>
      </c>
      <c r="E20" s="8">
        <v>12.1</v>
      </c>
      <c r="F20" s="8">
        <v>11.8</v>
      </c>
      <c r="G20" s="8">
        <v>11.9</v>
      </c>
      <c r="H20" s="8">
        <v>11.6</v>
      </c>
      <c r="I20" s="8">
        <v>11.2</v>
      </c>
      <c r="J20" s="8">
        <v>11.3</v>
      </c>
      <c r="K20" s="8">
        <v>11</v>
      </c>
      <c r="L20" s="8">
        <v>11.5</v>
      </c>
      <c r="M20" s="8">
        <v>12</v>
      </c>
      <c r="N20" s="8">
        <v>11.6</v>
      </c>
      <c r="O20" s="8">
        <v>12.3</v>
      </c>
      <c r="P20" s="8">
        <v>11.3</v>
      </c>
      <c r="Q20" s="8">
        <v>12</v>
      </c>
      <c r="R20" s="1">
        <f t="shared" si="0"/>
        <v>0.53289999999999993</v>
      </c>
      <c r="S20">
        <f t="shared" si="1"/>
        <v>6.1350112499999998E-2</v>
      </c>
      <c r="T20" s="7">
        <f t="shared" si="2"/>
        <v>0.17666261249999998</v>
      </c>
      <c r="U20" s="4">
        <f t="shared" si="3"/>
        <v>11.512500000000001</v>
      </c>
      <c r="V20">
        <v>0</v>
      </c>
      <c r="W20">
        <v>20.5</v>
      </c>
      <c r="X20">
        <f t="shared" si="4"/>
        <v>5625</v>
      </c>
      <c r="Y20">
        <f t="shared" si="5"/>
        <v>0</v>
      </c>
      <c r="Z20">
        <f t="shared" si="6"/>
        <v>0.1153125</v>
      </c>
    </row>
    <row r="21" spans="1:26" ht="16" x14ac:dyDescent="0.2">
      <c r="A21" s="1">
        <v>20</v>
      </c>
      <c r="B21" s="8">
        <v>8.5</v>
      </c>
      <c r="C21" s="8">
        <v>7.5</v>
      </c>
      <c r="D21" s="8">
        <v>7.5</v>
      </c>
      <c r="E21" s="8">
        <v>9.1</v>
      </c>
      <c r="F21" s="8">
        <v>9.1999999999999993</v>
      </c>
      <c r="G21" s="8">
        <v>6</v>
      </c>
      <c r="H21" s="8">
        <v>7.4</v>
      </c>
      <c r="I21" s="8">
        <v>8.9</v>
      </c>
      <c r="J21" s="8">
        <v>7.8</v>
      </c>
      <c r="K21" s="8">
        <v>7.4</v>
      </c>
      <c r="L21" s="8">
        <v>7.4</v>
      </c>
      <c r="M21" s="8">
        <v>8.6999999999999993</v>
      </c>
      <c r="N21" s="8">
        <v>8.5</v>
      </c>
      <c r="O21" s="8">
        <v>7</v>
      </c>
      <c r="P21" s="8">
        <v>7</v>
      </c>
      <c r="Q21" s="8">
        <v>9.8000000000000007</v>
      </c>
      <c r="R21" s="1">
        <f t="shared" si="0"/>
        <v>0.53289999999999993</v>
      </c>
      <c r="S21">
        <f t="shared" si="1"/>
        <v>4.2532081249999999E-2</v>
      </c>
      <c r="T21" s="7">
        <f t="shared" si="2"/>
        <v>0.15784458125</v>
      </c>
      <c r="U21" s="4">
        <f t="shared" si="3"/>
        <v>7.9812500000000002</v>
      </c>
      <c r="V21">
        <v>0</v>
      </c>
      <c r="W21">
        <v>20.5</v>
      </c>
      <c r="X21">
        <f t="shared" si="4"/>
        <v>5625</v>
      </c>
      <c r="Y21">
        <f t="shared" si="5"/>
        <v>0</v>
      </c>
      <c r="Z21">
        <f t="shared" si="6"/>
        <v>0.1153125</v>
      </c>
    </row>
    <row r="22" spans="1:26" ht="16" x14ac:dyDescent="0.2">
      <c r="A22" s="1">
        <v>21</v>
      </c>
      <c r="B22" s="8">
        <v>8.8000000000000007</v>
      </c>
      <c r="C22" s="8">
        <v>8.4</v>
      </c>
      <c r="D22" s="8">
        <v>8.1999999999999993</v>
      </c>
      <c r="E22" s="8">
        <v>8.6999999999999993</v>
      </c>
      <c r="F22" s="8">
        <v>8.6</v>
      </c>
      <c r="G22" s="8">
        <v>8.6</v>
      </c>
      <c r="H22" s="8">
        <v>8.1</v>
      </c>
      <c r="I22" s="8">
        <v>8.4</v>
      </c>
      <c r="J22" s="8">
        <v>8.1999999999999993</v>
      </c>
      <c r="K22" s="8">
        <v>8.8000000000000007</v>
      </c>
      <c r="L22" s="8">
        <v>9</v>
      </c>
      <c r="M22" s="9">
        <v>9.3000000000000007</v>
      </c>
      <c r="N22" s="8">
        <v>7.9</v>
      </c>
      <c r="O22" s="8">
        <v>8.6999999999999993</v>
      </c>
      <c r="P22" s="8">
        <v>8.3000000000000007</v>
      </c>
      <c r="Q22" s="8">
        <v>9.6</v>
      </c>
      <c r="R22" s="1">
        <f>0.73*0.73</f>
        <v>0.53289999999999993</v>
      </c>
      <c r="S22">
        <f t="shared" si="1"/>
        <v>4.5829400000000006E-2</v>
      </c>
      <c r="T22" s="7">
        <f t="shared" si="2"/>
        <v>0.1611419</v>
      </c>
      <c r="U22" s="4">
        <f t="shared" si="3"/>
        <v>8.6000000000000014</v>
      </c>
      <c r="V22">
        <v>0</v>
      </c>
      <c r="W22">
        <v>20.5</v>
      </c>
      <c r="X22">
        <f t="shared" si="4"/>
        <v>5625</v>
      </c>
      <c r="Y22">
        <f t="shared" ref="Y22:Y37" si="7">+V22*R22</f>
        <v>0</v>
      </c>
      <c r="Z22">
        <f t="shared" ref="Z22:Z37" si="8">+(X22/10000)*(W22/100)</f>
        <v>0.1153125</v>
      </c>
    </row>
    <row r="23" spans="1:26" ht="16" x14ac:dyDescent="0.2">
      <c r="A23" s="1">
        <v>22</v>
      </c>
      <c r="B23" s="8">
        <v>7</v>
      </c>
      <c r="C23" s="8">
        <v>8</v>
      </c>
      <c r="D23" s="8">
        <v>7.7</v>
      </c>
      <c r="E23" s="8">
        <v>8.4</v>
      </c>
      <c r="F23" s="8">
        <v>7.9</v>
      </c>
      <c r="G23" s="8">
        <v>8.1999999999999993</v>
      </c>
      <c r="H23" s="8">
        <v>7</v>
      </c>
      <c r="I23" s="8">
        <v>7.3</v>
      </c>
      <c r="J23" s="8">
        <v>7.3</v>
      </c>
      <c r="K23" s="8">
        <v>6.6</v>
      </c>
      <c r="L23" s="8">
        <v>7.6</v>
      </c>
      <c r="M23" s="8">
        <v>8.4</v>
      </c>
      <c r="N23" s="8">
        <v>7.2</v>
      </c>
      <c r="O23" s="8">
        <v>7.7</v>
      </c>
      <c r="P23" s="8">
        <v>7.8</v>
      </c>
      <c r="Q23" s="8">
        <v>6.7</v>
      </c>
      <c r="R23" s="1">
        <f t="shared" si="0"/>
        <v>0.53289999999999993</v>
      </c>
      <c r="S23">
        <f t="shared" si="1"/>
        <v>4.0233949999999991E-2</v>
      </c>
      <c r="T23" s="7">
        <f t="shared" si="2"/>
        <v>0.15554645</v>
      </c>
      <c r="U23" s="4">
        <f t="shared" si="3"/>
        <v>7.55</v>
      </c>
      <c r="V23">
        <v>0</v>
      </c>
      <c r="W23">
        <v>20.5</v>
      </c>
      <c r="X23">
        <f t="shared" si="4"/>
        <v>5625</v>
      </c>
      <c r="Y23">
        <f t="shared" si="7"/>
        <v>0</v>
      </c>
      <c r="Z23">
        <f t="shared" si="8"/>
        <v>0.1153125</v>
      </c>
    </row>
    <row r="24" spans="1:26" ht="16" x14ac:dyDescent="0.2">
      <c r="A24" s="1">
        <v>23</v>
      </c>
      <c r="B24" s="8">
        <v>10.4</v>
      </c>
      <c r="C24" s="8">
        <v>10.7</v>
      </c>
      <c r="D24" s="8">
        <v>9.3000000000000007</v>
      </c>
      <c r="E24" s="8">
        <v>9.5</v>
      </c>
      <c r="F24" s="8">
        <v>10.5</v>
      </c>
      <c r="G24" s="8">
        <v>9.3000000000000007</v>
      </c>
      <c r="H24" s="8">
        <v>10.8</v>
      </c>
      <c r="I24" s="8">
        <v>11.5</v>
      </c>
      <c r="J24" s="8">
        <v>10</v>
      </c>
      <c r="K24" s="8">
        <v>10</v>
      </c>
      <c r="L24" s="8">
        <v>10.4</v>
      </c>
      <c r="M24" s="8">
        <v>10.8</v>
      </c>
      <c r="N24" s="8">
        <v>9.9</v>
      </c>
      <c r="O24" s="8">
        <v>10.5</v>
      </c>
      <c r="P24" s="8">
        <v>11.3</v>
      </c>
      <c r="Q24" s="8">
        <v>11.4</v>
      </c>
      <c r="R24" s="1">
        <f t="shared" si="0"/>
        <v>0.53289999999999993</v>
      </c>
      <c r="S24">
        <f t="shared" si="1"/>
        <v>5.5388293749999991E-2</v>
      </c>
      <c r="T24" s="7">
        <f t="shared" si="2"/>
        <v>0.17070079375</v>
      </c>
      <c r="U24" s="4">
        <f t="shared" si="3"/>
        <v>10.393750000000001</v>
      </c>
      <c r="V24">
        <v>0</v>
      </c>
      <c r="W24">
        <v>20.5</v>
      </c>
      <c r="X24">
        <f t="shared" si="4"/>
        <v>5625</v>
      </c>
      <c r="Y24">
        <f t="shared" si="7"/>
        <v>0</v>
      </c>
      <c r="Z24">
        <f t="shared" si="8"/>
        <v>0.1153125</v>
      </c>
    </row>
    <row r="25" spans="1:26" ht="16" x14ac:dyDescent="0.2">
      <c r="A25" s="1">
        <v>24</v>
      </c>
      <c r="B25" s="8">
        <v>8.1999999999999993</v>
      </c>
      <c r="C25" s="8">
        <v>6.9</v>
      </c>
      <c r="D25" s="8">
        <v>8</v>
      </c>
      <c r="E25" s="8">
        <v>7.3</v>
      </c>
      <c r="F25" s="8">
        <v>9</v>
      </c>
      <c r="G25" s="8">
        <v>6.5</v>
      </c>
      <c r="H25" s="8">
        <v>6.6</v>
      </c>
      <c r="I25" s="8">
        <v>7</v>
      </c>
      <c r="J25" s="8">
        <v>9.8000000000000007</v>
      </c>
      <c r="K25" s="8">
        <v>6.7</v>
      </c>
      <c r="L25" s="8">
        <v>7.3</v>
      </c>
      <c r="M25" s="8">
        <v>7.8</v>
      </c>
      <c r="N25" s="8">
        <v>7.6</v>
      </c>
      <c r="O25" s="8">
        <v>7.5</v>
      </c>
      <c r="P25" s="8">
        <v>6.9</v>
      </c>
      <c r="Q25" s="8">
        <v>9.1999999999999993</v>
      </c>
      <c r="R25" s="1">
        <f t="shared" si="0"/>
        <v>0.53289999999999993</v>
      </c>
      <c r="S25">
        <f t="shared" si="1"/>
        <v>4.0733543749999997E-2</v>
      </c>
      <c r="T25" s="7">
        <f t="shared" si="2"/>
        <v>0.15604604375</v>
      </c>
      <c r="U25" s="4">
        <f t="shared" si="3"/>
        <v>7.6437500000000007</v>
      </c>
      <c r="V25">
        <v>0</v>
      </c>
      <c r="W25">
        <v>20.5</v>
      </c>
      <c r="X25">
        <f t="shared" si="4"/>
        <v>5625</v>
      </c>
      <c r="Y25">
        <f t="shared" si="7"/>
        <v>0</v>
      </c>
      <c r="Z25">
        <f t="shared" si="8"/>
        <v>0.1153125</v>
      </c>
    </row>
    <row r="26" spans="1:26" ht="16" x14ac:dyDescent="0.2">
      <c r="A26" s="1">
        <v>25</v>
      </c>
      <c r="B26" s="8">
        <v>12.4</v>
      </c>
      <c r="C26" s="8">
        <v>10.7</v>
      </c>
      <c r="D26" s="8">
        <v>10.5</v>
      </c>
      <c r="E26" s="8">
        <v>9.6999999999999993</v>
      </c>
      <c r="F26" s="8">
        <v>10.7</v>
      </c>
      <c r="G26" s="8">
        <v>11.5</v>
      </c>
      <c r="H26" s="8">
        <v>10.5</v>
      </c>
      <c r="I26" s="8">
        <v>10.7</v>
      </c>
      <c r="J26" s="8">
        <v>11.2</v>
      </c>
      <c r="K26" s="8">
        <v>11.3</v>
      </c>
      <c r="L26" s="8">
        <v>13.3</v>
      </c>
      <c r="M26" s="8">
        <v>12.8</v>
      </c>
      <c r="N26" s="8">
        <v>10.7</v>
      </c>
      <c r="O26" s="8">
        <v>11</v>
      </c>
      <c r="P26" s="8">
        <v>12.5</v>
      </c>
      <c r="Q26" s="8">
        <v>13.2</v>
      </c>
      <c r="R26" s="1">
        <f t="shared" si="0"/>
        <v>0.53289999999999993</v>
      </c>
      <c r="S26">
        <f t="shared" si="1"/>
        <v>6.0850518749999992E-2</v>
      </c>
      <c r="T26" s="7">
        <f t="shared" si="2"/>
        <v>0.17616301874999998</v>
      </c>
      <c r="U26" s="4">
        <f t="shared" si="3"/>
        <v>11.418749999999999</v>
      </c>
      <c r="V26">
        <v>0</v>
      </c>
      <c r="W26">
        <v>20.5</v>
      </c>
      <c r="X26">
        <f t="shared" si="4"/>
        <v>5625</v>
      </c>
      <c r="Y26">
        <f t="shared" si="7"/>
        <v>0</v>
      </c>
      <c r="Z26">
        <f t="shared" si="8"/>
        <v>0.1153125</v>
      </c>
    </row>
    <row r="27" spans="1:26" ht="16" x14ac:dyDescent="0.2">
      <c r="A27" s="1">
        <v>26</v>
      </c>
      <c r="B27" s="8">
        <v>8.5</v>
      </c>
      <c r="C27" s="8">
        <v>6.4</v>
      </c>
      <c r="D27" s="8">
        <v>6.3</v>
      </c>
      <c r="E27" s="8">
        <v>6.9</v>
      </c>
      <c r="F27" s="8">
        <v>6.9</v>
      </c>
      <c r="G27" s="8">
        <v>7</v>
      </c>
      <c r="H27" s="8">
        <v>5.9</v>
      </c>
      <c r="I27" s="8">
        <v>8.3000000000000007</v>
      </c>
      <c r="J27" s="8">
        <v>9.3000000000000007</v>
      </c>
      <c r="K27" s="8">
        <v>7.3</v>
      </c>
      <c r="L27" s="8">
        <v>6.8</v>
      </c>
      <c r="M27" s="8">
        <v>9</v>
      </c>
      <c r="N27" s="8">
        <v>9.4</v>
      </c>
      <c r="O27" s="8">
        <v>7</v>
      </c>
      <c r="P27" s="8">
        <v>8.1</v>
      </c>
      <c r="Q27" s="8">
        <v>8.5</v>
      </c>
      <c r="R27" s="1">
        <f t="shared" si="0"/>
        <v>0.53289999999999993</v>
      </c>
      <c r="S27">
        <f t="shared" si="1"/>
        <v>4.0500399999999992E-2</v>
      </c>
      <c r="T27" s="7">
        <f t="shared" si="2"/>
        <v>0.15581289999999998</v>
      </c>
      <c r="U27" s="4">
        <f t="shared" si="3"/>
        <v>7.6</v>
      </c>
      <c r="V27">
        <v>0</v>
      </c>
      <c r="W27">
        <v>20.5</v>
      </c>
      <c r="X27">
        <f t="shared" si="4"/>
        <v>5625</v>
      </c>
      <c r="Y27">
        <f t="shared" si="7"/>
        <v>0</v>
      </c>
      <c r="Z27">
        <f t="shared" si="8"/>
        <v>0.1153125</v>
      </c>
    </row>
    <row r="28" spans="1:26" ht="16" x14ac:dyDescent="0.2">
      <c r="A28" s="1">
        <v>27</v>
      </c>
      <c r="B28" s="8">
        <v>9.4</v>
      </c>
      <c r="C28" s="8">
        <v>9.5</v>
      </c>
      <c r="D28" s="8">
        <v>9.5</v>
      </c>
      <c r="E28" s="8">
        <v>8.5</v>
      </c>
      <c r="F28" s="8">
        <v>10.5</v>
      </c>
      <c r="G28" s="8">
        <v>11</v>
      </c>
      <c r="H28" s="8">
        <v>10.8</v>
      </c>
      <c r="I28" s="8">
        <v>9.3000000000000007</v>
      </c>
      <c r="J28" s="8">
        <v>11</v>
      </c>
      <c r="K28" s="8">
        <v>11.1</v>
      </c>
      <c r="L28" s="8">
        <v>11.8</v>
      </c>
      <c r="M28" s="8">
        <v>9.4</v>
      </c>
      <c r="N28" s="8">
        <v>10</v>
      </c>
      <c r="O28" s="8">
        <v>8.6999999999999993</v>
      </c>
      <c r="P28" s="8">
        <v>9</v>
      </c>
      <c r="Q28" s="8">
        <v>8.3000000000000007</v>
      </c>
      <c r="R28" s="1">
        <f t="shared" si="0"/>
        <v>0.53289999999999993</v>
      </c>
      <c r="S28">
        <f t="shared" si="1"/>
        <v>5.2557262499999993E-2</v>
      </c>
      <c r="T28" s="7">
        <f t="shared" si="2"/>
        <v>0.16786976249999999</v>
      </c>
      <c r="U28" s="4">
        <f t="shared" si="3"/>
        <v>9.8625000000000007</v>
      </c>
      <c r="V28">
        <v>0</v>
      </c>
      <c r="W28">
        <v>20.5</v>
      </c>
      <c r="X28">
        <f t="shared" si="4"/>
        <v>5625</v>
      </c>
      <c r="Y28">
        <f t="shared" si="7"/>
        <v>0</v>
      </c>
      <c r="Z28">
        <f t="shared" si="8"/>
        <v>0.1153125</v>
      </c>
    </row>
    <row r="29" spans="1:26" ht="16" x14ac:dyDescent="0.2">
      <c r="A29" s="1">
        <v>28</v>
      </c>
      <c r="B29" s="8">
        <v>10</v>
      </c>
      <c r="C29" s="8">
        <v>10.8</v>
      </c>
      <c r="D29" s="8">
        <v>10</v>
      </c>
      <c r="E29" s="8">
        <v>9.5</v>
      </c>
      <c r="F29" s="8">
        <v>10.5</v>
      </c>
      <c r="G29" s="8">
        <v>10</v>
      </c>
      <c r="H29" s="8">
        <v>10.6</v>
      </c>
      <c r="I29" s="8">
        <v>9.8000000000000007</v>
      </c>
      <c r="J29" s="8">
        <v>10.199999999999999</v>
      </c>
      <c r="K29" s="8">
        <v>10.5</v>
      </c>
      <c r="L29" s="8">
        <v>10</v>
      </c>
      <c r="M29" s="8">
        <v>10</v>
      </c>
      <c r="N29" s="8">
        <v>10.3</v>
      </c>
      <c r="O29" s="8">
        <v>10.5</v>
      </c>
      <c r="P29" s="8">
        <v>9.8000000000000007</v>
      </c>
      <c r="Q29" s="8">
        <v>9.5</v>
      </c>
      <c r="R29" s="1">
        <f t="shared" si="0"/>
        <v>0.53289999999999993</v>
      </c>
      <c r="S29">
        <f t="shared" si="1"/>
        <v>5.3956124999999994E-2</v>
      </c>
      <c r="T29" s="7">
        <f t="shared" si="2"/>
        <v>0.16926862500000001</v>
      </c>
      <c r="U29" s="4">
        <f t="shared" si="3"/>
        <v>10.125</v>
      </c>
      <c r="V29">
        <v>0</v>
      </c>
      <c r="W29">
        <v>20.5</v>
      </c>
      <c r="X29">
        <f t="shared" si="4"/>
        <v>5625</v>
      </c>
      <c r="Y29">
        <f t="shared" si="7"/>
        <v>0</v>
      </c>
      <c r="Z29">
        <f t="shared" si="8"/>
        <v>0.1153125</v>
      </c>
    </row>
    <row r="30" spans="1:26" ht="16" x14ac:dyDescent="0.2">
      <c r="A30" s="1">
        <v>29</v>
      </c>
      <c r="B30" s="8">
        <v>12</v>
      </c>
      <c r="C30" s="8">
        <v>10.5</v>
      </c>
      <c r="D30" s="8">
        <v>10.7</v>
      </c>
      <c r="E30" s="8">
        <v>10</v>
      </c>
      <c r="F30" s="8">
        <v>10.5</v>
      </c>
      <c r="G30" s="8">
        <v>9</v>
      </c>
      <c r="H30" s="8">
        <v>9.8000000000000007</v>
      </c>
      <c r="I30" s="8">
        <v>8.9</v>
      </c>
      <c r="J30" s="8">
        <v>10.1</v>
      </c>
      <c r="K30" s="8">
        <v>12</v>
      </c>
      <c r="L30" s="8">
        <v>8.3000000000000007</v>
      </c>
      <c r="M30" s="8">
        <v>8.5</v>
      </c>
      <c r="N30" s="8">
        <v>10.5</v>
      </c>
      <c r="O30" s="8">
        <v>10</v>
      </c>
      <c r="P30" s="9">
        <v>8.5</v>
      </c>
      <c r="Q30" s="8">
        <v>8.1999999999999993</v>
      </c>
      <c r="R30" s="1">
        <f t="shared" si="0"/>
        <v>0.53289999999999993</v>
      </c>
      <c r="S30">
        <f t="shared" si="1"/>
        <v>5.2457343749999989E-2</v>
      </c>
      <c r="T30" s="7">
        <f t="shared" si="2"/>
        <v>0.16776984374999998</v>
      </c>
      <c r="U30" s="4">
        <f t="shared" si="3"/>
        <v>9.84375</v>
      </c>
      <c r="V30">
        <v>0</v>
      </c>
      <c r="W30">
        <v>20.5</v>
      </c>
      <c r="X30">
        <f t="shared" si="4"/>
        <v>5625</v>
      </c>
      <c r="Y30">
        <f t="shared" si="7"/>
        <v>0</v>
      </c>
      <c r="Z30">
        <f t="shared" si="8"/>
        <v>0.1153125</v>
      </c>
    </row>
    <row r="31" spans="1:26" ht="16" x14ac:dyDescent="0.2">
      <c r="A31" s="1">
        <v>30</v>
      </c>
      <c r="B31" s="8">
        <v>7</v>
      </c>
      <c r="C31" s="8">
        <v>6.9</v>
      </c>
      <c r="D31" s="8">
        <v>7</v>
      </c>
      <c r="E31" s="8">
        <v>6.8</v>
      </c>
      <c r="F31" s="8">
        <v>7.4</v>
      </c>
      <c r="G31" s="8">
        <v>7</v>
      </c>
      <c r="H31" s="8">
        <v>8.5</v>
      </c>
      <c r="I31" s="8">
        <v>7</v>
      </c>
      <c r="J31" s="8">
        <v>7.2</v>
      </c>
      <c r="K31" s="8">
        <v>7</v>
      </c>
      <c r="L31" s="8">
        <v>6.9</v>
      </c>
      <c r="M31" s="8">
        <v>6.5</v>
      </c>
      <c r="N31" s="8">
        <v>6.4</v>
      </c>
      <c r="O31" s="8">
        <v>6.8</v>
      </c>
      <c r="P31" s="8">
        <v>7.5</v>
      </c>
      <c r="Q31" s="8">
        <v>7.3</v>
      </c>
      <c r="R31" s="1">
        <f t="shared" si="0"/>
        <v>0.53289999999999993</v>
      </c>
      <c r="S31">
        <f t="shared" si="1"/>
        <v>3.7702674999999998E-2</v>
      </c>
      <c r="T31" s="7">
        <f t="shared" si="2"/>
        <v>0.153015175</v>
      </c>
      <c r="U31" s="4">
        <f t="shared" si="3"/>
        <v>7.0750000000000002</v>
      </c>
      <c r="V31">
        <v>0</v>
      </c>
      <c r="W31">
        <v>20.5</v>
      </c>
      <c r="X31">
        <f t="shared" si="4"/>
        <v>5625</v>
      </c>
      <c r="Y31">
        <f t="shared" si="7"/>
        <v>0</v>
      </c>
      <c r="Z31">
        <f t="shared" si="8"/>
        <v>0.1153125</v>
      </c>
    </row>
    <row r="32" spans="1:26" ht="16" x14ac:dyDescent="0.2">
      <c r="A32" s="1">
        <v>31</v>
      </c>
      <c r="B32" s="8">
        <v>8.5</v>
      </c>
      <c r="C32" s="8">
        <v>9.1999999999999993</v>
      </c>
      <c r="D32" s="8">
        <v>8</v>
      </c>
      <c r="E32" s="8">
        <v>6.6</v>
      </c>
      <c r="F32" s="8">
        <v>8.8000000000000007</v>
      </c>
      <c r="G32" s="8">
        <v>9.3000000000000007</v>
      </c>
      <c r="H32" s="8">
        <v>9</v>
      </c>
      <c r="I32" s="8">
        <v>7.9</v>
      </c>
      <c r="J32" s="8">
        <v>9.1</v>
      </c>
      <c r="K32" s="8">
        <v>9.4</v>
      </c>
      <c r="L32" s="8">
        <v>9</v>
      </c>
      <c r="M32" s="8">
        <v>8.8000000000000007</v>
      </c>
      <c r="N32" s="8">
        <v>10</v>
      </c>
      <c r="O32" s="8">
        <v>9.5</v>
      </c>
      <c r="P32" s="8">
        <v>9</v>
      </c>
      <c r="Q32" s="8">
        <v>9.1999999999999993</v>
      </c>
      <c r="R32" s="1">
        <f t="shared" si="0"/>
        <v>0.53289999999999993</v>
      </c>
      <c r="S32">
        <f t="shared" si="1"/>
        <v>4.7061731249999988E-2</v>
      </c>
      <c r="T32" s="7">
        <f t="shared" si="2"/>
        <v>0.16237423125</v>
      </c>
      <c r="U32" s="4">
        <f t="shared" si="3"/>
        <v>8.8312499999999989</v>
      </c>
      <c r="V32">
        <v>0</v>
      </c>
      <c r="W32">
        <v>20.5</v>
      </c>
      <c r="X32">
        <f t="shared" si="4"/>
        <v>5625</v>
      </c>
      <c r="Y32">
        <f t="shared" si="7"/>
        <v>0</v>
      </c>
      <c r="Z32">
        <f t="shared" si="8"/>
        <v>0.1153125</v>
      </c>
    </row>
    <row r="33" spans="1:26" ht="16" x14ac:dyDescent="0.2">
      <c r="A33" s="1">
        <v>32</v>
      </c>
      <c r="B33" s="8">
        <v>7</v>
      </c>
      <c r="C33" s="8">
        <v>5.8</v>
      </c>
      <c r="D33" s="8">
        <v>5.7</v>
      </c>
      <c r="E33" s="8">
        <v>5.4</v>
      </c>
      <c r="F33" s="8">
        <v>6.4</v>
      </c>
      <c r="G33" s="8">
        <v>5.2</v>
      </c>
      <c r="H33" s="8">
        <v>4.2</v>
      </c>
      <c r="I33" s="8">
        <v>5</v>
      </c>
      <c r="J33" s="8">
        <v>6.5</v>
      </c>
      <c r="K33" s="8">
        <v>5.8</v>
      </c>
      <c r="L33" s="8">
        <v>4.9000000000000004</v>
      </c>
      <c r="M33" s="8">
        <v>5.9</v>
      </c>
      <c r="N33" s="8">
        <v>6.5</v>
      </c>
      <c r="O33" s="8">
        <v>6</v>
      </c>
      <c r="P33" s="8">
        <v>6</v>
      </c>
      <c r="Q33" s="8">
        <v>5</v>
      </c>
      <c r="R33" s="1">
        <f t="shared" si="0"/>
        <v>0.53289999999999993</v>
      </c>
      <c r="S33">
        <f t="shared" si="1"/>
        <v>3.0408606249999994E-2</v>
      </c>
      <c r="T33" s="7">
        <f t="shared" si="2"/>
        <v>0.14572110624999998</v>
      </c>
      <c r="U33" s="4">
        <f t="shared" si="3"/>
        <v>5.7062499999999998</v>
      </c>
      <c r="V33">
        <v>0</v>
      </c>
      <c r="W33">
        <v>20.5</v>
      </c>
      <c r="X33">
        <f t="shared" si="4"/>
        <v>5625</v>
      </c>
      <c r="Y33">
        <f t="shared" si="7"/>
        <v>0</v>
      </c>
      <c r="Z33">
        <f t="shared" si="8"/>
        <v>0.1153125</v>
      </c>
    </row>
    <row r="34" spans="1:26" ht="16" x14ac:dyDescent="0.2">
      <c r="A34" s="1">
        <v>33</v>
      </c>
      <c r="B34" s="8">
        <v>8.6</v>
      </c>
      <c r="C34" s="8">
        <v>8.1</v>
      </c>
      <c r="D34" s="8">
        <v>8</v>
      </c>
      <c r="E34" s="8">
        <v>7.5</v>
      </c>
      <c r="F34" s="8">
        <v>8.5</v>
      </c>
      <c r="G34" s="8">
        <v>8.4</v>
      </c>
      <c r="H34" s="8">
        <v>6.9</v>
      </c>
      <c r="I34" s="8">
        <v>7.5</v>
      </c>
      <c r="J34" s="8">
        <v>8.5</v>
      </c>
      <c r="K34" s="8">
        <v>8.8000000000000007</v>
      </c>
      <c r="L34" s="8">
        <v>9</v>
      </c>
      <c r="M34" s="8">
        <v>8</v>
      </c>
      <c r="N34" s="8">
        <v>7</v>
      </c>
      <c r="O34" s="8">
        <v>9</v>
      </c>
      <c r="P34" s="8">
        <v>8.4</v>
      </c>
      <c r="Q34" s="8">
        <v>7.9</v>
      </c>
      <c r="R34" s="1">
        <f t="shared" si="0"/>
        <v>0.53289999999999993</v>
      </c>
      <c r="S34">
        <f t="shared" si="1"/>
        <v>4.333143124999999E-2</v>
      </c>
      <c r="T34" s="7">
        <f t="shared" si="2"/>
        <v>0.15864393124999998</v>
      </c>
      <c r="U34" s="4">
        <f t="shared" si="3"/>
        <v>8.1312499999999996</v>
      </c>
      <c r="V34">
        <v>0</v>
      </c>
      <c r="W34">
        <v>20.5</v>
      </c>
      <c r="X34">
        <f t="shared" si="4"/>
        <v>5625</v>
      </c>
      <c r="Y34">
        <f t="shared" si="7"/>
        <v>0</v>
      </c>
      <c r="Z34">
        <f t="shared" si="8"/>
        <v>0.1153125</v>
      </c>
    </row>
    <row r="35" spans="1:26" ht="16" x14ac:dyDescent="0.2">
      <c r="A35" s="1">
        <v>34</v>
      </c>
      <c r="B35" s="8">
        <v>7.6</v>
      </c>
      <c r="C35" s="8">
        <v>5.7</v>
      </c>
      <c r="D35" s="8">
        <v>5</v>
      </c>
      <c r="E35" s="9">
        <v>5.8</v>
      </c>
      <c r="F35" s="8">
        <v>7.2</v>
      </c>
      <c r="G35" s="8">
        <v>6.4</v>
      </c>
      <c r="H35" s="8">
        <v>6.5</v>
      </c>
      <c r="I35" s="8">
        <v>5</v>
      </c>
      <c r="J35" s="8">
        <v>6.5</v>
      </c>
      <c r="K35" s="9">
        <v>6.4</v>
      </c>
      <c r="L35" s="8">
        <v>5.2</v>
      </c>
      <c r="M35" s="8">
        <v>4.4000000000000004</v>
      </c>
      <c r="N35" s="8">
        <v>6</v>
      </c>
      <c r="O35" s="8">
        <v>6.2</v>
      </c>
      <c r="P35" s="8">
        <v>5.5</v>
      </c>
      <c r="Q35" s="8">
        <v>3.5</v>
      </c>
      <c r="R35" s="1">
        <f t="shared" si="0"/>
        <v>0.53289999999999993</v>
      </c>
      <c r="S35">
        <f t="shared" si="1"/>
        <v>3.0941506249999997E-2</v>
      </c>
      <c r="T35" s="7">
        <f t="shared" si="2"/>
        <v>0.14625400624999998</v>
      </c>
      <c r="U35" s="4">
        <f t="shared" si="3"/>
        <v>5.8062500000000004</v>
      </c>
      <c r="V35">
        <v>0</v>
      </c>
      <c r="W35">
        <v>20.5</v>
      </c>
      <c r="X35">
        <f t="shared" si="4"/>
        <v>5625</v>
      </c>
      <c r="Y35">
        <f t="shared" si="7"/>
        <v>0</v>
      </c>
      <c r="Z35">
        <f t="shared" si="8"/>
        <v>0.1153125</v>
      </c>
    </row>
    <row r="36" spans="1:26" ht="16" x14ac:dyDescent="0.2">
      <c r="A36" s="1">
        <v>35</v>
      </c>
      <c r="B36" s="8">
        <v>7.7</v>
      </c>
      <c r="C36" s="8">
        <v>10</v>
      </c>
      <c r="D36" s="8">
        <v>8.4</v>
      </c>
      <c r="E36" s="8">
        <v>8.1</v>
      </c>
      <c r="F36" s="8">
        <v>7.5</v>
      </c>
      <c r="G36" s="8">
        <v>10</v>
      </c>
      <c r="H36" s="8">
        <v>9</v>
      </c>
      <c r="I36" s="8">
        <v>8</v>
      </c>
      <c r="J36" s="8">
        <v>8</v>
      </c>
      <c r="K36" s="8">
        <v>8</v>
      </c>
      <c r="L36" s="8">
        <v>8</v>
      </c>
      <c r="M36" s="8">
        <v>7.5</v>
      </c>
      <c r="N36" s="8">
        <v>8</v>
      </c>
      <c r="O36" s="8">
        <v>8</v>
      </c>
      <c r="P36" s="8">
        <v>6</v>
      </c>
      <c r="Q36" s="8">
        <v>7.5</v>
      </c>
      <c r="R36" s="1">
        <f t="shared" si="0"/>
        <v>0.53289999999999993</v>
      </c>
      <c r="S36">
        <f t="shared" si="1"/>
        <v>4.3198206249999989E-2</v>
      </c>
      <c r="T36" s="7">
        <f t="shared" si="2"/>
        <v>0.15851070624999999</v>
      </c>
      <c r="U36" s="4">
        <f t="shared" si="3"/>
        <v>8.1062499999999993</v>
      </c>
      <c r="V36">
        <v>0</v>
      </c>
      <c r="W36">
        <v>20.5</v>
      </c>
      <c r="X36">
        <f t="shared" si="4"/>
        <v>5625</v>
      </c>
      <c r="Y36">
        <f t="shared" si="7"/>
        <v>0</v>
      </c>
      <c r="Z36">
        <f t="shared" si="8"/>
        <v>0.1153125</v>
      </c>
    </row>
    <row r="37" spans="1:26" ht="16" x14ac:dyDescent="0.2">
      <c r="A37" s="1">
        <v>36</v>
      </c>
      <c r="B37" s="8">
        <v>9.5</v>
      </c>
      <c r="C37" s="8">
        <v>9</v>
      </c>
      <c r="D37" s="8">
        <v>6</v>
      </c>
      <c r="E37" s="8">
        <v>7</v>
      </c>
      <c r="F37" s="8">
        <v>9.5</v>
      </c>
      <c r="G37" s="8">
        <v>10</v>
      </c>
      <c r="H37" s="8">
        <v>6</v>
      </c>
      <c r="I37" s="8">
        <v>7</v>
      </c>
      <c r="J37" s="8">
        <v>9.5</v>
      </c>
      <c r="K37" s="8">
        <v>9</v>
      </c>
      <c r="L37" s="8">
        <v>4.5</v>
      </c>
      <c r="M37" s="8">
        <v>4.5</v>
      </c>
      <c r="N37" s="8">
        <v>8</v>
      </c>
      <c r="O37" s="8">
        <v>8.6</v>
      </c>
      <c r="P37" s="8">
        <v>8</v>
      </c>
      <c r="Q37" s="8">
        <v>5.5</v>
      </c>
      <c r="R37" s="1">
        <f t="shared" si="0"/>
        <v>0.53289999999999993</v>
      </c>
      <c r="S37">
        <f t="shared" si="1"/>
        <v>4.0500399999999992E-2</v>
      </c>
      <c r="T37" s="7">
        <f t="shared" si="2"/>
        <v>0.15581289999999998</v>
      </c>
      <c r="U37" s="4">
        <f t="shared" si="3"/>
        <v>7.6</v>
      </c>
      <c r="V37">
        <v>0</v>
      </c>
      <c r="W37">
        <v>20.5</v>
      </c>
      <c r="X37">
        <f t="shared" si="4"/>
        <v>5625</v>
      </c>
      <c r="Y37">
        <f t="shared" si="7"/>
        <v>0</v>
      </c>
      <c r="Z37">
        <f t="shared" si="8"/>
        <v>0.1153125</v>
      </c>
    </row>
    <row r="39" spans="1:26" x14ac:dyDescent="0.2">
      <c r="U39" s="5">
        <f>+AVERAGE(U2:U37)</f>
        <v>8.9484375000000025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Perez</dc:creator>
  <cp:lastModifiedBy>Benedetti Lorenzo (lorenzo.benedetti1)</cp:lastModifiedBy>
  <dcterms:created xsi:type="dcterms:W3CDTF">2015-06-05T18:19:34Z</dcterms:created>
  <dcterms:modified xsi:type="dcterms:W3CDTF">2026-01-13T14:39:01Z</dcterms:modified>
</cp:coreProperties>
</file>