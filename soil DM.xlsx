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lorenzobenedetti/Documents/GitHub/Agroscena-Next-Project-2025/"/>
    </mc:Choice>
  </mc:AlternateContent>
  <xr:revisionPtr revIDLastSave="0" documentId="13_ncr:1_{C774A1DB-8104-644E-BF88-A21389364AA1}" xr6:coauthVersionLast="47" xr6:coauthVersionMax="47" xr10:uidLastSave="{00000000-0000-0000-0000-000000000000}"/>
  <bookViews>
    <workbookView xWindow="31840" yWindow="3380" windowWidth="40160" windowHeight="21700" activeTab="1" xr2:uid="{00000000-000D-0000-FFFF-FFFF00000000}"/>
  </bookViews>
  <sheets>
    <sheet name="pH" sheetId="1" r:id="rId1"/>
    <sheet name="DM-meassur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9" i="2"/>
  <c r="J10" i="2"/>
  <c r="I3" i="2"/>
  <c r="I4" i="2"/>
  <c r="I9" i="2"/>
  <c r="I10" i="2"/>
  <c r="H2" i="2"/>
  <c r="H7" i="2"/>
  <c r="I7" i="2" s="1"/>
  <c r="J7" i="2" s="1"/>
  <c r="H3" i="2"/>
  <c r="H4" i="2"/>
  <c r="H9" i="2"/>
  <c r="H10" i="2"/>
  <c r="H5" i="2"/>
  <c r="H6" i="2"/>
  <c r="H8" i="2"/>
  <c r="F2" i="2"/>
  <c r="I2" i="2" s="1"/>
  <c r="J2" i="2" s="1"/>
  <c r="F7" i="2"/>
  <c r="F3" i="2"/>
  <c r="F4" i="2"/>
  <c r="F9" i="2"/>
  <c r="F10" i="2"/>
  <c r="F5" i="2"/>
  <c r="I5" i="2" s="1"/>
  <c r="J5" i="2" s="1"/>
  <c r="F6" i="2"/>
  <c r="I6" i="2" s="1"/>
  <c r="J6" i="2" s="1"/>
  <c r="F8" i="2"/>
  <c r="I8" i="2" s="1"/>
  <c r="J8" i="2" s="1"/>
  <c r="H6" i="1"/>
  <c r="H5" i="1"/>
  <c r="J14" i="2" l="1"/>
  <c r="J13" i="2"/>
</calcChain>
</file>

<file path=xl/sharedStrings.xml><?xml version="1.0" encoding="utf-8"?>
<sst xmlns="http://schemas.openxmlformats.org/spreadsheetml/2006/main" count="28" uniqueCount="20">
  <si>
    <t>Info</t>
  </si>
  <si>
    <t>Based on labtest performed by Heidi (lab-technician)</t>
  </si>
  <si>
    <t>Which!</t>
  </si>
  <si>
    <t>pH</t>
  </si>
  <si>
    <t>avd</t>
  </si>
  <si>
    <t>std-dev</t>
  </si>
  <si>
    <t>m(water) [g]</t>
  </si>
  <si>
    <t>Soil dried in oven at 100 deg C for 24 h</t>
  </si>
  <si>
    <t>wt% water</t>
  </si>
  <si>
    <t>avg</t>
  </si>
  <si>
    <t>ID</t>
  </si>
  <si>
    <t>Tray</t>
  </si>
  <si>
    <t>Tray + fw soil (g)</t>
  </si>
  <si>
    <t>fw soil (g)</t>
  </si>
  <si>
    <t>Tray + dw soil (g)</t>
  </si>
  <si>
    <t>Trt</t>
  </si>
  <si>
    <t>TH</t>
  </si>
  <si>
    <t>OSI</t>
  </si>
  <si>
    <t>DC+FR</t>
  </si>
  <si>
    <t>dw soil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</si>
</sst>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I10" sqref="I10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H1" t="s">
        <v>3</v>
      </c>
    </row>
    <row r="2" spans="1:8" x14ac:dyDescent="0.2">
      <c r="A2" t="s">
        <v>1</v>
      </c>
      <c r="G2">
        <v>1</v>
      </c>
      <c r="H2">
        <v>5.79</v>
      </c>
    </row>
    <row r="3" spans="1:8" x14ac:dyDescent="0.2">
      <c r="A3" t="s">
        <v>2</v>
      </c>
      <c r="G3">
        <v>2</v>
      </c>
      <c r="H3" s="2">
        <v>5.8</v>
      </c>
    </row>
    <row r="4" spans="1:8" x14ac:dyDescent="0.2">
      <c r="G4">
        <v>3</v>
      </c>
      <c r="H4">
        <v>5.82</v>
      </c>
    </row>
    <row r="5" spans="1:8" x14ac:dyDescent="0.2">
      <c r="G5" t="s">
        <v>4</v>
      </c>
      <c r="H5" s="2">
        <f>(H2+H3+H4)/3</f>
        <v>5.8033333333333337</v>
      </c>
    </row>
    <row r="6" spans="1:8" x14ac:dyDescent="0.2">
      <c r="G6" t="s">
        <v>5</v>
      </c>
      <c r="H6" s="2">
        <f>_xlfn.STDEV.P(H2,H3,H4)</f>
        <v>1.2472191289246601E-2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A5BB-1777-4A36-A094-C0B46E9D4726}">
  <dimension ref="A1:J14"/>
  <sheetViews>
    <sheetView tabSelected="1" zoomScale="210" zoomScaleNormal="210" workbookViewId="0">
      <selection activeCell="I16" sqref="I16"/>
    </sheetView>
  </sheetViews>
  <sheetFormatPr baseColWidth="10" defaultColWidth="8.83203125" defaultRowHeight="15" x14ac:dyDescent="0.2"/>
  <cols>
    <col min="1" max="1" width="32.5" bestFit="1" customWidth="1"/>
    <col min="2" max="3" width="8.83203125" customWidth="1"/>
    <col min="4" max="4" width="10" customWidth="1"/>
    <col min="5" max="5" width="20.5" bestFit="1" customWidth="1"/>
    <col min="6" max="6" width="15.1640625" bestFit="1" customWidth="1"/>
    <col min="7" max="7" width="15.1640625" customWidth="1"/>
    <col min="8" max="8" width="13.6640625" bestFit="1" customWidth="1"/>
    <col min="9" max="9" width="11.1640625" bestFit="1" customWidth="1"/>
    <col min="10" max="10" width="10.6640625" bestFit="1" customWidth="1"/>
  </cols>
  <sheetData>
    <row r="1" spans="1:10" x14ac:dyDescent="0.2">
      <c r="A1" s="3" t="s">
        <v>0</v>
      </c>
      <c r="B1" s="3" t="s">
        <v>15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19</v>
      </c>
      <c r="I1" s="3" t="s">
        <v>6</v>
      </c>
      <c r="J1" s="3" t="s">
        <v>8</v>
      </c>
    </row>
    <row r="2" spans="1:10" x14ac:dyDescent="0.2">
      <c r="A2" s="3" t="s">
        <v>7</v>
      </c>
      <c r="B2" s="3" t="s">
        <v>18</v>
      </c>
      <c r="C2" s="3">
        <v>1099</v>
      </c>
      <c r="D2" s="3">
        <v>8.5</v>
      </c>
      <c r="E2" s="3">
        <v>200</v>
      </c>
      <c r="F2" s="4">
        <f>E2-D2</f>
        <v>191.5</v>
      </c>
      <c r="G2" s="4">
        <v>164.5</v>
      </c>
      <c r="H2" s="4">
        <f>G2-D2</f>
        <v>156</v>
      </c>
      <c r="I2" s="4">
        <f>F2-H2</f>
        <v>35.5</v>
      </c>
      <c r="J2" s="5">
        <f>I2/F2*100</f>
        <v>18.5378590078329</v>
      </c>
    </row>
    <row r="3" spans="1:10" x14ac:dyDescent="0.2">
      <c r="A3" s="3"/>
      <c r="B3" s="3" t="s">
        <v>18</v>
      </c>
      <c r="C3" s="3">
        <v>1096</v>
      </c>
      <c r="D3" s="3">
        <v>8.5</v>
      </c>
      <c r="E3" s="3">
        <v>188.5</v>
      </c>
      <c r="F3" s="4">
        <f>E3-D3</f>
        <v>180</v>
      </c>
      <c r="G3" s="4">
        <v>153.5</v>
      </c>
      <c r="H3" s="4">
        <f>G3-D3</f>
        <v>145</v>
      </c>
      <c r="I3" s="4">
        <f>F3-H3</f>
        <v>35</v>
      </c>
      <c r="J3" s="5">
        <f>I3/F3*100</f>
        <v>19.444444444444446</v>
      </c>
    </row>
    <row r="4" spans="1:10" x14ac:dyDescent="0.2">
      <c r="A4" s="3"/>
      <c r="B4" s="3" t="s">
        <v>18</v>
      </c>
      <c r="C4" s="3">
        <v>1098</v>
      </c>
      <c r="D4" s="3">
        <v>8.5</v>
      </c>
      <c r="E4" s="4">
        <v>187</v>
      </c>
      <c r="F4" s="4">
        <f>E4-D4</f>
        <v>178.5</v>
      </c>
      <c r="G4" s="4">
        <v>152.19999999999999</v>
      </c>
      <c r="H4" s="4">
        <f>G4-D4</f>
        <v>143.69999999999999</v>
      </c>
      <c r="I4" s="4">
        <f>F4-H4</f>
        <v>34.800000000000011</v>
      </c>
      <c r="J4" s="5">
        <f>I4/F4*100</f>
        <v>19.495798319327736</v>
      </c>
    </row>
    <row r="5" spans="1:10" x14ac:dyDescent="0.2">
      <c r="A5" s="3"/>
      <c r="B5" s="3" t="s">
        <v>17</v>
      </c>
      <c r="C5" s="3">
        <v>6688</v>
      </c>
      <c r="D5" s="3">
        <v>8.5</v>
      </c>
      <c r="E5" s="3">
        <v>191</v>
      </c>
      <c r="F5" s="4">
        <f>E5-D5</f>
        <v>182.5</v>
      </c>
      <c r="G5" s="4">
        <v>155.5</v>
      </c>
      <c r="H5" s="4">
        <f>G5-D5</f>
        <v>147</v>
      </c>
      <c r="I5" s="4">
        <f>F5-H5</f>
        <v>35.5</v>
      </c>
      <c r="J5" s="5">
        <f>I5/F5*100</f>
        <v>19.452054794520549</v>
      </c>
    </row>
    <row r="6" spans="1:10" x14ac:dyDescent="0.2">
      <c r="A6" s="3"/>
      <c r="B6" s="3" t="s">
        <v>17</v>
      </c>
      <c r="C6" s="3">
        <v>6679</v>
      </c>
      <c r="D6" s="3">
        <v>8.5</v>
      </c>
      <c r="E6" s="4">
        <v>168</v>
      </c>
      <c r="F6" s="4">
        <f>E6-D6</f>
        <v>159.5</v>
      </c>
      <c r="G6" s="4">
        <v>139</v>
      </c>
      <c r="H6" s="4">
        <f>G6-D6</f>
        <v>130.5</v>
      </c>
      <c r="I6" s="4">
        <f>F6-H6</f>
        <v>29</v>
      </c>
      <c r="J6" s="5">
        <f>I6/F6*100</f>
        <v>18.181818181818183</v>
      </c>
    </row>
    <row r="7" spans="1:10" x14ac:dyDescent="0.2">
      <c r="A7" s="3"/>
      <c r="B7" s="3" t="s">
        <v>17</v>
      </c>
      <c r="C7" s="3">
        <v>6685</v>
      </c>
      <c r="D7" s="3">
        <v>8.5</v>
      </c>
      <c r="E7" s="4">
        <v>180</v>
      </c>
      <c r="F7" s="4">
        <f>E7-D7</f>
        <v>171.5</v>
      </c>
      <c r="G7" s="4">
        <v>147</v>
      </c>
      <c r="H7" s="4">
        <f>G7-D7</f>
        <v>138.5</v>
      </c>
      <c r="I7" s="4">
        <f>F7-H7</f>
        <v>33</v>
      </c>
      <c r="J7" s="5">
        <f>I7/F7*100</f>
        <v>19.241982507288629</v>
      </c>
    </row>
    <row r="8" spans="1:10" x14ac:dyDescent="0.2">
      <c r="B8" s="3" t="s">
        <v>16</v>
      </c>
      <c r="C8" s="3">
        <v>8399</v>
      </c>
      <c r="D8" s="3">
        <v>8.5</v>
      </c>
      <c r="E8" s="4">
        <v>185.5</v>
      </c>
      <c r="F8" s="4">
        <f>E8-D8</f>
        <v>177</v>
      </c>
      <c r="G8" s="4">
        <v>152.5</v>
      </c>
      <c r="H8" s="4">
        <f>G8-D8</f>
        <v>144</v>
      </c>
      <c r="I8" s="4">
        <f>F8-H8</f>
        <v>33</v>
      </c>
      <c r="J8" s="5">
        <f>I8/F8*100</f>
        <v>18.64406779661017</v>
      </c>
    </row>
    <row r="9" spans="1:10" x14ac:dyDescent="0.2">
      <c r="A9" s="3"/>
      <c r="B9" s="3" t="s">
        <v>16</v>
      </c>
      <c r="C9" s="3">
        <v>6662</v>
      </c>
      <c r="D9" s="3">
        <v>8.5</v>
      </c>
      <c r="E9" s="3">
        <v>205</v>
      </c>
      <c r="F9" s="4">
        <f>E9-D9</f>
        <v>196.5</v>
      </c>
      <c r="G9" s="4">
        <v>168.5</v>
      </c>
      <c r="H9" s="4">
        <f>G9-D9</f>
        <v>160</v>
      </c>
      <c r="I9" s="4">
        <f>F9-H9</f>
        <v>36.5</v>
      </c>
      <c r="J9" s="5">
        <f>I9/F9*100</f>
        <v>18.575063613231553</v>
      </c>
    </row>
    <row r="10" spans="1:10" x14ac:dyDescent="0.2">
      <c r="A10" s="3"/>
      <c r="B10" s="3" t="s">
        <v>16</v>
      </c>
      <c r="C10" s="3">
        <v>1103</v>
      </c>
      <c r="D10" s="3">
        <v>8.5</v>
      </c>
      <c r="E10" s="4">
        <v>184.5</v>
      </c>
      <c r="F10" s="4">
        <f>E10-D10</f>
        <v>176</v>
      </c>
      <c r="G10" s="4">
        <v>156.5</v>
      </c>
      <c r="H10" s="4">
        <f>G10-D10</f>
        <v>148</v>
      </c>
      <c r="I10" s="4">
        <f>F10-H10</f>
        <v>28</v>
      </c>
      <c r="J10" s="5">
        <f>I10/F10*100</f>
        <v>15.909090909090908</v>
      </c>
    </row>
    <row r="11" spans="1:10" x14ac:dyDescent="0.2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">
      <c r="A13" s="3"/>
      <c r="B13" s="3"/>
      <c r="C13" s="3" t="s">
        <v>9</v>
      </c>
      <c r="D13" s="3"/>
      <c r="E13" s="3"/>
      <c r="F13" s="3"/>
      <c r="G13" s="3"/>
      <c r="H13" s="3"/>
      <c r="I13" s="3"/>
      <c r="J13" s="4">
        <f>AVERAGE(J2:J10)</f>
        <v>18.609131063796116</v>
      </c>
    </row>
    <row r="14" spans="1:10" x14ac:dyDescent="0.2">
      <c r="A14" s="3"/>
      <c r="B14" s="3"/>
      <c r="C14" s="3" t="s">
        <v>5</v>
      </c>
      <c r="D14" s="3"/>
      <c r="E14" s="3"/>
      <c r="F14" s="3"/>
      <c r="G14" s="3"/>
      <c r="H14" s="3"/>
      <c r="I14" s="3"/>
      <c r="J14" s="4">
        <f>STDEV(J2:J10)</f>
        <v>1.1222311838389627</v>
      </c>
    </row>
  </sheetData>
  <sortState xmlns:xlrd2="http://schemas.microsoft.com/office/spreadsheetml/2017/richdata2" ref="A2:J10">
    <sortCondition ref="B2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pH</vt:lpstr>
      <vt:lpstr>DM-meassurement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Benedetti Lorenzo (lorenzo.benedetti1)</cp:lastModifiedBy>
  <dcterms:created xsi:type="dcterms:W3CDTF">2015-06-05T18:19:34Z</dcterms:created>
  <dcterms:modified xsi:type="dcterms:W3CDTF">2025-11-07T13:20:55Z</dcterms:modified>
</cp:coreProperties>
</file>