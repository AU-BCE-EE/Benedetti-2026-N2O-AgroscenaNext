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ae\Desktop\Github - speciale\AgrosceNa-NEXT\data\soil\"/>
    </mc:Choice>
  </mc:AlternateContent>
  <xr:revisionPtr revIDLastSave="0" documentId="13_ncr:1_{081CC9F6-7F18-4356-858D-427783F4A81E}" xr6:coauthVersionLast="47" xr6:coauthVersionMax="47" xr10:uidLastSave="{00000000-0000-0000-0000-000000000000}"/>
  <bookViews>
    <workbookView xWindow="-108" yWindow="-108" windowWidth="23256" windowHeight="12456" xr2:uid="{52A91A2A-C72C-411D-B75B-3CC87786D24B}"/>
  </bookViews>
  <sheets>
    <sheet name="soi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3" l="1"/>
  <c r="N3" i="3"/>
  <c r="J3" i="3"/>
  <c r="M3" i="3"/>
  <c r="K4" i="3"/>
  <c r="M4" i="3" s="1"/>
  <c r="K3" i="3"/>
  <c r="O9" i="3" l="1"/>
  <c r="O10" i="3"/>
  <c r="O11" i="3"/>
  <c r="O12" i="3"/>
  <c r="O13" i="3"/>
  <c r="O14" i="3"/>
  <c r="N9" i="3"/>
  <c r="N10" i="3"/>
  <c r="N11" i="3"/>
  <c r="N12" i="3"/>
  <c r="N13" i="3"/>
  <c r="N14" i="3"/>
  <c r="M9" i="3"/>
  <c r="M10" i="3"/>
  <c r="M11" i="3"/>
  <c r="M12" i="3"/>
  <c r="M13" i="3"/>
  <c r="M14" i="3"/>
  <c r="K9" i="3"/>
  <c r="K10" i="3"/>
  <c r="K11" i="3"/>
  <c r="K12" i="3"/>
  <c r="K13" i="3"/>
  <c r="K14" i="3"/>
  <c r="J9" i="3"/>
  <c r="J10" i="3"/>
  <c r="J11" i="3"/>
  <c r="J12" i="3"/>
  <c r="J13" i="3"/>
  <c r="J14" i="3"/>
  <c r="J4" i="3" l="1"/>
  <c r="J5" i="3"/>
  <c r="K5" i="3"/>
  <c r="M5" i="3" s="1"/>
  <c r="J6" i="3"/>
  <c r="K6" i="3"/>
  <c r="M6" i="3" s="1"/>
  <c r="J7" i="3"/>
  <c r="K7" i="3"/>
  <c r="M7" i="3" s="1"/>
  <c r="J8" i="3"/>
  <c r="K8" i="3"/>
  <c r="M8" i="3" s="1"/>
  <c r="N6" i="3" l="1"/>
  <c r="O6" i="3" s="1"/>
  <c r="N8" i="3"/>
  <c r="O8" i="3" s="1"/>
  <c r="N5" i="3"/>
  <c r="O5" i="3" s="1"/>
  <c r="N4" i="3"/>
  <c r="O4" i="3" s="1"/>
  <c r="N7" i="3"/>
  <c r="O7" i="3" s="1"/>
</calcChain>
</file>

<file path=xl/sharedStrings.xml><?xml version="1.0" encoding="utf-8"?>
<sst xmlns="http://schemas.openxmlformats.org/spreadsheetml/2006/main" count="58" uniqueCount="38">
  <si>
    <t>experiment</t>
  </si>
  <si>
    <t>Experiment</t>
  </si>
  <si>
    <t>Date</t>
  </si>
  <si>
    <t>Analyst</t>
  </si>
  <si>
    <t>dublicate</t>
  </si>
  <si>
    <t>pH</t>
  </si>
  <si>
    <t>date</t>
  </si>
  <si>
    <t>ID</t>
  </si>
  <si>
    <t>Ring size [cm3]</t>
  </si>
  <si>
    <t>Tray [g]</t>
  </si>
  <si>
    <t>Tray + field soil [g]</t>
  </si>
  <si>
    <t>Tray + dry soil [g]</t>
  </si>
  <si>
    <t>Field soil [g]</t>
  </si>
  <si>
    <t>Dry soil [g]</t>
  </si>
  <si>
    <t>Particle density (ASSUMED) [g/cm3]</t>
  </si>
  <si>
    <t>Dry bulk density [g/cm3]</t>
  </si>
  <si>
    <t>Water content [g] or [cm3]</t>
  </si>
  <si>
    <t>Gravametric water  conctent [g/g]</t>
  </si>
  <si>
    <t>Soil pH, 1:1 water</t>
  </si>
  <si>
    <t>analyst</t>
  </si>
  <si>
    <t>id</t>
  </si>
  <si>
    <t>ring.size</t>
  </si>
  <si>
    <t>field.soil</t>
  </si>
  <si>
    <t>dry.soil</t>
  </si>
  <si>
    <t>par.dens</t>
  </si>
  <si>
    <t>bulk.dens</t>
  </si>
  <si>
    <t>WC</t>
  </si>
  <si>
    <t>W</t>
  </si>
  <si>
    <t>crop height</t>
  </si>
  <si>
    <t>crop.height</t>
  </si>
  <si>
    <t>tray1</t>
  </si>
  <si>
    <t>tray2</t>
  </si>
  <si>
    <t>tray3</t>
  </si>
  <si>
    <t>cattle</t>
  </si>
  <si>
    <t>pig DC + FR</t>
  </si>
  <si>
    <t>pig OSI</t>
  </si>
  <si>
    <t>pig TH</t>
  </si>
  <si>
    <t>pig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</si>
</sst>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0" borderId="1" xfId="0" applyBorder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C750D-BA1C-4B24-AF5F-9673531FB7C0}">
  <dimension ref="A1:R14"/>
  <sheetViews>
    <sheetView tabSelected="1" zoomScale="130" zoomScaleNormal="130" workbookViewId="0">
      <pane xSplit="2" ySplit="2" topLeftCell="J3" activePane="bottomRight" state="frozen"/>
      <selection pane="topRight" activeCell="C1" sqref="C1"/>
      <selection pane="bottomLeft" activeCell="A3" sqref="A3"/>
      <selection pane="bottomRight" activeCell="R3" sqref="R3:S4"/>
    </sheetView>
  </sheetViews>
  <sheetFormatPr defaultColWidth="8.88671875" defaultRowHeight="14.4" x14ac:dyDescent="0.3"/>
  <cols>
    <col min="1" max="1" width="9.88671875" bestFit="1" customWidth="1"/>
    <col min="2" max="2" width="11.109375" bestFit="1" customWidth="1"/>
    <col min="6" max="6" width="14" customWidth="1"/>
    <col min="8" max="8" width="13.109375" customWidth="1"/>
    <col min="9" max="9" width="11" customWidth="1"/>
    <col min="10" max="10" width="13.6640625" customWidth="1"/>
    <col min="11" max="11" width="11.6640625" customWidth="1"/>
    <col min="12" max="12" width="19.88671875" hidden="1" customWidth="1"/>
    <col min="13" max="13" width="15.109375" customWidth="1"/>
    <col min="14" max="14" width="17.88671875" customWidth="1"/>
    <col min="15" max="16" width="20" customWidth="1"/>
  </cols>
  <sheetData>
    <row r="1" spans="1:18" ht="28.8" x14ac:dyDescent="0.3">
      <c r="A1" s="5" t="s">
        <v>1</v>
      </c>
      <c r="B1" s="5" t="s">
        <v>2</v>
      </c>
      <c r="C1" s="5" t="s">
        <v>3</v>
      </c>
      <c r="D1" s="5" t="s">
        <v>7</v>
      </c>
      <c r="E1" s="5" t="s">
        <v>4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6" t="s">
        <v>14</v>
      </c>
      <c r="M1" s="5" t="s">
        <v>15</v>
      </c>
      <c r="N1" s="5" t="s">
        <v>16</v>
      </c>
      <c r="O1" s="5" t="s">
        <v>17</v>
      </c>
      <c r="P1" s="5" t="s">
        <v>28</v>
      </c>
      <c r="Q1" s="5" t="s">
        <v>18</v>
      </c>
    </row>
    <row r="2" spans="1:18" s="1" customFormat="1" ht="15" thickBot="1" x14ac:dyDescent="0.35">
      <c r="A2" s="7" t="s">
        <v>0</v>
      </c>
      <c r="B2" s="7" t="s">
        <v>6</v>
      </c>
      <c r="C2" s="7" t="s">
        <v>19</v>
      </c>
      <c r="D2" s="7" t="s">
        <v>20</v>
      </c>
      <c r="E2" s="7" t="s">
        <v>4</v>
      </c>
      <c r="F2" s="7" t="s">
        <v>21</v>
      </c>
      <c r="G2" s="7" t="s">
        <v>30</v>
      </c>
      <c r="H2" s="7" t="s">
        <v>31</v>
      </c>
      <c r="I2" s="7" t="s">
        <v>32</v>
      </c>
      <c r="J2" s="7" t="s">
        <v>22</v>
      </c>
      <c r="K2" s="7" t="s">
        <v>23</v>
      </c>
      <c r="L2" s="7" t="s">
        <v>24</v>
      </c>
      <c r="M2" s="7" t="s">
        <v>25</v>
      </c>
      <c r="N2" s="7" t="s">
        <v>26</v>
      </c>
      <c r="O2" s="7" t="s">
        <v>27</v>
      </c>
      <c r="P2" s="7" t="s">
        <v>29</v>
      </c>
      <c r="Q2" s="7" t="s">
        <v>5</v>
      </c>
    </row>
    <row r="3" spans="1:18" ht="15" thickTop="1" x14ac:dyDescent="0.3">
      <c r="A3" t="s">
        <v>33</v>
      </c>
      <c r="B3" s="8">
        <v>45958</v>
      </c>
      <c r="C3" s="2"/>
      <c r="D3" s="2" t="s">
        <v>33</v>
      </c>
      <c r="E3" s="2">
        <v>1</v>
      </c>
      <c r="F3" s="2">
        <v>100</v>
      </c>
      <c r="G3" s="2">
        <v>8.5</v>
      </c>
      <c r="H3" s="4">
        <v>196</v>
      </c>
      <c r="I3" s="2">
        <v>170.5</v>
      </c>
      <c r="J3" s="3">
        <f>H3-G3</f>
        <v>187.5</v>
      </c>
      <c r="K3" s="2">
        <f>I3-G3</f>
        <v>162</v>
      </c>
      <c r="L3" s="2">
        <v>2.65</v>
      </c>
      <c r="M3" s="9">
        <f>K3/F3</f>
        <v>1.62</v>
      </c>
      <c r="N3" s="3">
        <f>J3-K3</f>
        <v>25.5</v>
      </c>
      <c r="O3" s="9">
        <f>N3/K3</f>
        <v>0.15740740740740741</v>
      </c>
      <c r="P3" s="9"/>
      <c r="Q3" s="2">
        <v>5.79</v>
      </c>
    </row>
    <row r="4" spans="1:18" x14ac:dyDescent="0.3">
      <c r="A4" t="s">
        <v>33</v>
      </c>
      <c r="B4" s="8">
        <v>45958</v>
      </c>
      <c r="C4" s="2"/>
      <c r="D4" s="2" t="s">
        <v>33</v>
      </c>
      <c r="E4" s="2">
        <v>2</v>
      </c>
      <c r="F4" s="2">
        <v>100</v>
      </c>
      <c r="G4" s="2">
        <v>8.5</v>
      </c>
      <c r="H4" s="10">
        <v>173.5</v>
      </c>
      <c r="I4" s="2">
        <v>149.5</v>
      </c>
      <c r="J4" s="2">
        <f>H4-G4</f>
        <v>165</v>
      </c>
      <c r="K4" s="2">
        <f>I4-G4</f>
        <v>141</v>
      </c>
      <c r="L4" s="2">
        <v>2.65</v>
      </c>
      <c r="M4" s="9">
        <f>K4/F4</f>
        <v>1.41</v>
      </c>
      <c r="N4" s="2">
        <f t="shared" ref="N4:N5" si="0">J4-K4</f>
        <v>24</v>
      </c>
      <c r="O4" s="9">
        <f t="shared" ref="O4:O5" si="1">N4/K4</f>
        <v>0.1702127659574468</v>
      </c>
      <c r="P4" s="9"/>
      <c r="Q4" s="2">
        <v>5.8</v>
      </c>
      <c r="R4" s="11"/>
    </row>
    <row r="5" spans="1:18" x14ac:dyDescent="0.3">
      <c r="A5" t="s">
        <v>33</v>
      </c>
      <c r="B5" s="8">
        <v>45958</v>
      </c>
      <c r="C5" s="2"/>
      <c r="D5" s="2" t="s">
        <v>33</v>
      </c>
      <c r="E5" s="2">
        <v>3</v>
      </c>
      <c r="F5" s="2">
        <v>100</v>
      </c>
      <c r="G5" s="2">
        <v>8.5</v>
      </c>
      <c r="H5" s="4">
        <v>183</v>
      </c>
      <c r="I5" s="2">
        <v>156</v>
      </c>
      <c r="J5" s="2">
        <f>H5-G5</f>
        <v>174.5</v>
      </c>
      <c r="K5" s="2">
        <f>I5-G5</f>
        <v>147.5</v>
      </c>
      <c r="L5" s="2">
        <v>2.65</v>
      </c>
      <c r="M5" s="9">
        <f t="shared" ref="M5" si="2">K5/F5</f>
        <v>1.4750000000000001</v>
      </c>
      <c r="N5" s="2">
        <f t="shared" si="0"/>
        <v>27</v>
      </c>
      <c r="O5" s="9">
        <f t="shared" si="1"/>
        <v>0.18305084745762712</v>
      </c>
      <c r="P5" s="9"/>
      <c r="Q5" s="2">
        <v>5.82</v>
      </c>
    </row>
    <row r="6" spans="1:18" x14ac:dyDescent="0.3">
      <c r="A6" t="s">
        <v>37</v>
      </c>
      <c r="B6" s="8">
        <v>45966</v>
      </c>
      <c r="C6" s="2"/>
      <c r="D6" s="2" t="s">
        <v>34</v>
      </c>
      <c r="E6" s="2">
        <v>1</v>
      </c>
      <c r="F6" s="2">
        <v>100</v>
      </c>
      <c r="G6" s="2">
        <v>8.5</v>
      </c>
      <c r="H6" s="2">
        <v>200</v>
      </c>
      <c r="I6" s="4">
        <v>164.5</v>
      </c>
      <c r="J6" s="2">
        <f>H6-G6</f>
        <v>191.5</v>
      </c>
      <c r="K6" s="2">
        <f>I6-G6</f>
        <v>156</v>
      </c>
      <c r="L6" s="2">
        <v>2.65</v>
      </c>
      <c r="M6" s="9">
        <f>K6/F6</f>
        <v>1.56</v>
      </c>
      <c r="N6" s="2">
        <f>J6-K6</f>
        <v>35.5</v>
      </c>
      <c r="O6" s="9">
        <f>N6/K6</f>
        <v>0.22756410256410256</v>
      </c>
      <c r="P6" s="9"/>
      <c r="Q6" s="2"/>
    </row>
    <row r="7" spans="1:18" x14ac:dyDescent="0.3">
      <c r="A7" t="s">
        <v>37</v>
      </c>
      <c r="B7" s="8">
        <v>45966</v>
      </c>
      <c r="C7" s="2"/>
      <c r="D7" s="2" t="s">
        <v>34</v>
      </c>
      <c r="E7" s="2">
        <v>2</v>
      </c>
      <c r="F7" s="2">
        <v>100</v>
      </c>
      <c r="G7" s="2">
        <v>8.5</v>
      </c>
      <c r="H7" s="2">
        <v>188.5</v>
      </c>
      <c r="I7" s="4">
        <v>153.5</v>
      </c>
      <c r="J7" s="2">
        <f t="shared" ref="J7:J14" si="3">H7-G7</f>
        <v>180</v>
      </c>
      <c r="K7" s="2">
        <f t="shared" ref="K7:K14" si="4">I7-G7</f>
        <v>145</v>
      </c>
      <c r="L7" s="2">
        <v>2.65</v>
      </c>
      <c r="M7" s="9">
        <f t="shared" ref="M7:M14" si="5">K7/F7</f>
        <v>1.45</v>
      </c>
      <c r="N7" s="2">
        <f t="shared" ref="N7:N14" si="6">J7-K7</f>
        <v>35</v>
      </c>
      <c r="O7" s="9">
        <f t="shared" ref="O7:O14" si="7">N7/K7</f>
        <v>0.2413793103448276</v>
      </c>
      <c r="P7" s="9"/>
      <c r="Q7" s="2"/>
    </row>
    <row r="8" spans="1:18" x14ac:dyDescent="0.3">
      <c r="A8" t="s">
        <v>37</v>
      </c>
      <c r="B8" s="8">
        <v>45966</v>
      </c>
      <c r="C8" s="2"/>
      <c r="D8" s="2" t="s">
        <v>34</v>
      </c>
      <c r="E8" s="2">
        <v>3</v>
      </c>
      <c r="F8" s="2">
        <v>100</v>
      </c>
      <c r="G8" s="2">
        <v>8.5</v>
      </c>
      <c r="H8" s="3">
        <v>187</v>
      </c>
      <c r="I8" s="4">
        <v>152.19999999999999</v>
      </c>
      <c r="J8" s="2">
        <f t="shared" si="3"/>
        <v>178.5</v>
      </c>
      <c r="K8" s="2">
        <f t="shared" si="4"/>
        <v>143.69999999999999</v>
      </c>
      <c r="L8" s="2">
        <v>2.65</v>
      </c>
      <c r="M8" s="9">
        <f t="shared" si="5"/>
        <v>1.4369999999999998</v>
      </c>
      <c r="N8" s="2">
        <f t="shared" si="6"/>
        <v>34.800000000000011</v>
      </c>
      <c r="O8" s="9">
        <f t="shared" si="7"/>
        <v>0.24217118997912326</v>
      </c>
      <c r="P8" s="9"/>
      <c r="Q8" s="2"/>
    </row>
    <row r="9" spans="1:18" x14ac:dyDescent="0.3">
      <c r="A9" t="s">
        <v>37</v>
      </c>
      <c r="B9" s="8">
        <v>45966</v>
      </c>
      <c r="C9" s="2"/>
      <c r="D9" s="2" t="s">
        <v>35</v>
      </c>
      <c r="E9" s="2">
        <v>1</v>
      </c>
      <c r="F9" s="2">
        <v>100</v>
      </c>
      <c r="G9" s="2">
        <v>8.5</v>
      </c>
      <c r="H9" s="2">
        <v>191</v>
      </c>
      <c r="I9" s="4">
        <v>155.5</v>
      </c>
      <c r="J9" s="2">
        <f t="shared" si="3"/>
        <v>182.5</v>
      </c>
      <c r="K9" s="2">
        <f t="shared" si="4"/>
        <v>147</v>
      </c>
      <c r="L9" s="2"/>
      <c r="M9" s="9">
        <f t="shared" si="5"/>
        <v>1.47</v>
      </c>
      <c r="N9" s="2">
        <f t="shared" si="6"/>
        <v>35.5</v>
      </c>
      <c r="O9" s="9">
        <f t="shared" si="7"/>
        <v>0.24149659863945577</v>
      </c>
      <c r="P9" s="2"/>
      <c r="Q9" s="2"/>
    </row>
    <row r="10" spans="1:18" x14ac:dyDescent="0.3">
      <c r="A10" t="s">
        <v>37</v>
      </c>
      <c r="B10" s="8">
        <v>45966</v>
      </c>
      <c r="C10" s="2"/>
      <c r="D10" s="2" t="s">
        <v>35</v>
      </c>
      <c r="E10" s="2">
        <v>2</v>
      </c>
      <c r="F10" s="2">
        <v>100</v>
      </c>
      <c r="G10" s="2">
        <v>8.5</v>
      </c>
      <c r="H10" s="3">
        <v>168</v>
      </c>
      <c r="I10" s="4">
        <v>139</v>
      </c>
      <c r="J10" s="2">
        <f t="shared" si="3"/>
        <v>159.5</v>
      </c>
      <c r="K10" s="2">
        <f t="shared" si="4"/>
        <v>130.5</v>
      </c>
      <c r="L10" s="2"/>
      <c r="M10" s="9">
        <f t="shared" si="5"/>
        <v>1.3049999999999999</v>
      </c>
      <c r="N10" s="2">
        <f t="shared" si="6"/>
        <v>29</v>
      </c>
      <c r="O10" s="9">
        <f t="shared" si="7"/>
        <v>0.22222222222222221</v>
      </c>
      <c r="P10" s="2"/>
      <c r="Q10" s="2"/>
    </row>
    <row r="11" spans="1:18" x14ac:dyDescent="0.3">
      <c r="A11" t="s">
        <v>37</v>
      </c>
      <c r="B11" s="8">
        <v>45966</v>
      </c>
      <c r="C11" s="2"/>
      <c r="D11" s="2" t="s">
        <v>35</v>
      </c>
      <c r="E11" s="2">
        <v>3</v>
      </c>
      <c r="F11" s="2">
        <v>100</v>
      </c>
      <c r="G11" s="2">
        <v>8.5</v>
      </c>
      <c r="H11" s="3">
        <v>180</v>
      </c>
      <c r="I11" s="4">
        <v>147</v>
      </c>
      <c r="J11" s="2">
        <f t="shared" si="3"/>
        <v>171.5</v>
      </c>
      <c r="K11" s="2">
        <f t="shared" si="4"/>
        <v>138.5</v>
      </c>
      <c r="L11" s="2"/>
      <c r="M11" s="9">
        <f t="shared" si="5"/>
        <v>1.385</v>
      </c>
      <c r="N11" s="2">
        <f t="shared" si="6"/>
        <v>33</v>
      </c>
      <c r="O11" s="9">
        <f t="shared" si="7"/>
        <v>0.23826714801444043</v>
      </c>
      <c r="P11" s="2"/>
      <c r="Q11" s="2"/>
    </row>
    <row r="12" spans="1:18" x14ac:dyDescent="0.3">
      <c r="A12" t="s">
        <v>37</v>
      </c>
      <c r="B12" s="8">
        <v>45966</v>
      </c>
      <c r="C12" s="2"/>
      <c r="D12" s="2" t="s">
        <v>36</v>
      </c>
      <c r="E12" s="2">
        <v>1</v>
      </c>
      <c r="F12" s="2">
        <v>100</v>
      </c>
      <c r="G12" s="2">
        <v>8.5</v>
      </c>
      <c r="H12" s="3">
        <v>185.5</v>
      </c>
      <c r="I12" s="4">
        <v>152.5</v>
      </c>
      <c r="J12" s="2">
        <f t="shared" si="3"/>
        <v>177</v>
      </c>
      <c r="K12" s="2">
        <f t="shared" si="4"/>
        <v>144</v>
      </c>
      <c r="L12" s="2"/>
      <c r="M12" s="9">
        <f t="shared" si="5"/>
        <v>1.44</v>
      </c>
      <c r="N12" s="2">
        <f t="shared" si="6"/>
        <v>33</v>
      </c>
      <c r="O12" s="9">
        <f t="shared" si="7"/>
        <v>0.22916666666666666</v>
      </c>
      <c r="P12" s="2"/>
      <c r="Q12" s="2"/>
    </row>
    <row r="13" spans="1:18" x14ac:dyDescent="0.3">
      <c r="A13" t="s">
        <v>37</v>
      </c>
      <c r="B13" s="8">
        <v>45966</v>
      </c>
      <c r="C13" s="2"/>
      <c r="D13" s="2" t="s">
        <v>36</v>
      </c>
      <c r="E13" s="2">
        <v>2</v>
      </c>
      <c r="F13" s="2">
        <v>100</v>
      </c>
      <c r="G13" s="2">
        <v>8.5</v>
      </c>
      <c r="H13" s="2">
        <v>205</v>
      </c>
      <c r="I13" s="4">
        <v>168.5</v>
      </c>
      <c r="J13" s="2">
        <f t="shared" si="3"/>
        <v>196.5</v>
      </c>
      <c r="K13" s="2">
        <f t="shared" si="4"/>
        <v>160</v>
      </c>
      <c r="L13" s="2"/>
      <c r="M13" s="9">
        <f t="shared" si="5"/>
        <v>1.6</v>
      </c>
      <c r="N13" s="2">
        <f t="shared" si="6"/>
        <v>36.5</v>
      </c>
      <c r="O13" s="9">
        <f t="shared" si="7"/>
        <v>0.22812499999999999</v>
      </c>
      <c r="P13" s="2"/>
      <c r="Q13" s="2"/>
    </row>
    <row r="14" spans="1:18" x14ac:dyDescent="0.3">
      <c r="A14" t="s">
        <v>37</v>
      </c>
      <c r="B14" s="8">
        <v>45966</v>
      </c>
      <c r="C14" s="2"/>
      <c r="D14" s="2" t="s">
        <v>36</v>
      </c>
      <c r="E14" s="2">
        <v>3</v>
      </c>
      <c r="F14" s="2">
        <v>100</v>
      </c>
      <c r="G14" s="2">
        <v>8.5</v>
      </c>
      <c r="H14" s="3">
        <v>184.5</v>
      </c>
      <c r="I14" s="4">
        <v>156.5</v>
      </c>
      <c r="J14" s="2">
        <f t="shared" si="3"/>
        <v>176</v>
      </c>
      <c r="K14" s="2">
        <f t="shared" si="4"/>
        <v>148</v>
      </c>
      <c r="L14" s="2"/>
      <c r="M14" s="9">
        <f t="shared" si="5"/>
        <v>1.48</v>
      </c>
      <c r="N14" s="2">
        <f t="shared" si="6"/>
        <v>28</v>
      </c>
      <c r="O14" s="9">
        <f t="shared" si="7"/>
        <v>0.1891891891891892</v>
      </c>
      <c r="P14" s="2"/>
      <c r="Q14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soil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Pedersen</dc:creator>
  <cp:lastModifiedBy>Mikael Løvig Larsen</cp:lastModifiedBy>
  <cp:lastPrinted>2024-05-01T06:22:27Z</cp:lastPrinted>
  <dcterms:created xsi:type="dcterms:W3CDTF">2023-03-17T11:54:09Z</dcterms:created>
  <dcterms:modified xsi:type="dcterms:W3CDTF">2026-04-07T13:10:03Z</dcterms:modified>
</cp:coreProperties>
</file>